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ITRDB_5000\Mountain_site\"/>
    </mc:Choice>
  </mc:AlternateContent>
  <xr:revisionPtr revIDLastSave="0" documentId="13_ncr:1_{1AC6BB58-418A-46A8-948F-4D55590390D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2" i="3" l="1"/>
  <c r="D52" i="3"/>
  <c r="E52" i="3"/>
  <c r="F52" i="3"/>
  <c r="G52" i="3"/>
  <c r="H52" i="3"/>
  <c r="I52" i="3"/>
  <c r="J52" i="3"/>
  <c r="K52" i="3"/>
  <c r="L52" i="3"/>
  <c r="C53" i="3"/>
  <c r="D53" i="3"/>
  <c r="E53" i="3"/>
  <c r="F53" i="3"/>
  <c r="G53" i="3"/>
  <c r="H53" i="3"/>
  <c r="I53" i="3"/>
  <c r="J53" i="3"/>
  <c r="K53" i="3"/>
  <c r="L53" i="3"/>
  <c r="C54" i="3"/>
  <c r="D54" i="3"/>
  <c r="E54" i="3"/>
  <c r="F54" i="3"/>
  <c r="G54" i="3"/>
  <c r="H54" i="3"/>
  <c r="I54" i="3"/>
  <c r="J54" i="3"/>
  <c r="K54" i="3"/>
  <c r="L54" i="3"/>
  <c r="B53" i="3"/>
  <c r="B54" i="3"/>
  <c r="B52" i="3"/>
  <c r="C48" i="3"/>
  <c r="D48" i="3"/>
  <c r="E48" i="3"/>
  <c r="F48" i="3"/>
  <c r="G48" i="3"/>
  <c r="H48" i="3"/>
  <c r="I48" i="3"/>
  <c r="J48" i="3"/>
  <c r="K48" i="3"/>
  <c r="L48" i="3"/>
  <c r="C49" i="3"/>
  <c r="D49" i="3"/>
  <c r="E49" i="3"/>
  <c r="F49" i="3"/>
  <c r="G49" i="3"/>
  <c r="H49" i="3"/>
  <c r="I49" i="3"/>
  <c r="J49" i="3"/>
  <c r="K49" i="3"/>
  <c r="L49" i="3"/>
  <c r="C50" i="3"/>
  <c r="D50" i="3"/>
  <c r="E50" i="3"/>
  <c r="F50" i="3"/>
  <c r="G50" i="3"/>
  <c r="H50" i="3"/>
  <c r="I50" i="3"/>
  <c r="J50" i="3"/>
  <c r="K50" i="3"/>
  <c r="L50" i="3"/>
  <c r="B50" i="3"/>
  <c r="B49" i="3"/>
  <c r="B48" i="3"/>
</calcChain>
</file>

<file path=xl/sharedStrings.xml><?xml version="1.0" encoding="utf-8"?>
<sst xmlns="http://schemas.openxmlformats.org/spreadsheetml/2006/main" count="335" uniqueCount="128">
  <si>
    <t>Ks</t>
  </si>
  <si>
    <t>Kl</t>
  </si>
  <si>
    <t>pd_p11</t>
  </si>
  <si>
    <t>pre_p11</t>
  </si>
  <si>
    <t>tem_p11</t>
  </si>
  <si>
    <t>species</t>
    <phoneticPr fontId="1" type="noConversion"/>
  </si>
  <si>
    <t xml:space="preserve"> ABAL</t>
  </si>
  <si>
    <t xml:space="preserve"> ABLA</t>
  </si>
  <si>
    <t xml:space="preserve"> ABSB</t>
  </si>
  <si>
    <t xml:space="preserve"> ARAR</t>
  </si>
  <si>
    <t xml:space="preserve"> AUCH</t>
  </si>
  <si>
    <t xml:space="preserve"> FASY</t>
  </si>
  <si>
    <t xml:space="preserve"> JUOC</t>
  </si>
  <si>
    <t xml:space="preserve"> JUSP</t>
  </si>
  <si>
    <t xml:space="preserve"> LADE</t>
  </si>
  <si>
    <t xml:space="preserve"> LALY</t>
  </si>
  <si>
    <t xml:space="preserve"> LASI</t>
  </si>
  <si>
    <t xml:space="preserve"> LIBI</t>
  </si>
  <si>
    <t xml:space="preserve"> NOPU</t>
  </si>
  <si>
    <t xml:space="preserve"> NOSO</t>
  </si>
  <si>
    <t xml:space="preserve"> PCAB</t>
  </si>
  <si>
    <t xml:space="preserve"> PCEN</t>
  </si>
  <si>
    <t xml:space="preserve"> PCGL</t>
  </si>
  <si>
    <t xml:space="preserve"> PCMA</t>
  </si>
  <si>
    <t xml:space="preserve"> PCRU</t>
  </si>
  <si>
    <t xml:space="preserve"> PCSI</t>
  </si>
  <si>
    <t xml:space="preserve"> PHAS</t>
  </si>
  <si>
    <t xml:space="preserve"> PIAL</t>
  </si>
  <si>
    <t xml:space="preserve"> PICE</t>
  </si>
  <si>
    <t xml:space="preserve"> PICO</t>
  </si>
  <si>
    <t xml:space="preserve"> PIED</t>
  </si>
  <si>
    <t xml:space="preserve"> PIFL</t>
  </si>
  <si>
    <t xml:space="preserve"> PIJE</t>
  </si>
  <si>
    <t xml:space="preserve"> PILO</t>
  </si>
  <si>
    <t xml:space="preserve"> PINI</t>
  </si>
  <si>
    <t xml:space="preserve"> PIPO</t>
  </si>
  <si>
    <t xml:space="preserve"> PISY</t>
  </si>
  <si>
    <t xml:space="preserve"> PSMA</t>
  </si>
  <si>
    <t xml:space="preserve"> PSME</t>
  </si>
  <si>
    <t xml:space="preserve"> QUAL</t>
  </si>
  <si>
    <t xml:space="preserve"> QUDG</t>
  </si>
  <si>
    <t xml:space="preserve"> QUPE</t>
  </si>
  <si>
    <t xml:space="preserve"> QUSP</t>
  </si>
  <si>
    <t xml:space="preserve"> SEGI</t>
  </si>
  <si>
    <t xml:space="preserve"> TAMU</t>
  </si>
  <si>
    <t xml:space="preserve"> TSCA</t>
  </si>
  <si>
    <t xml:space="preserve"> TSME</t>
  </si>
  <si>
    <t>P50</t>
  </si>
  <si>
    <t>Ppd</t>
  </si>
  <si>
    <t>Pmd</t>
  </si>
  <si>
    <t>TLP</t>
  </si>
  <si>
    <t>AlAs</t>
  </si>
  <si>
    <t>WD</t>
  </si>
  <si>
    <t>Vdia</t>
  </si>
  <si>
    <t>PDSI</t>
    <phoneticPr fontId="1" type="noConversion"/>
  </si>
  <si>
    <t>TEM</t>
    <phoneticPr fontId="1" type="noConversion"/>
  </si>
  <si>
    <t>PRE</t>
    <phoneticPr fontId="1" type="noConversion"/>
  </si>
  <si>
    <t>trait</t>
    <phoneticPr fontId="1" type="noConversion"/>
  </si>
  <si>
    <t>ACRU</t>
  </si>
  <si>
    <t>ACSA</t>
  </si>
  <si>
    <t>FAGR</t>
  </si>
  <si>
    <t>dtr_p11</t>
  </si>
  <si>
    <t>pd_sd</t>
    <phoneticPr fontId="1" type="noConversion"/>
  </si>
  <si>
    <t>pre_sd</t>
    <phoneticPr fontId="1" type="noConversion"/>
  </si>
  <si>
    <t>tem_sd</t>
    <phoneticPr fontId="1" type="noConversion"/>
  </si>
  <si>
    <t>dtr_sd</t>
    <phoneticPr fontId="1" type="noConversion"/>
  </si>
  <si>
    <t>species</t>
  </si>
  <si>
    <t>Hmax</t>
  </si>
  <si>
    <t>Hact</t>
  </si>
  <si>
    <t>PSME</t>
  </si>
  <si>
    <t>PIPO</t>
  </si>
  <si>
    <t>PCAB</t>
  </si>
  <si>
    <t>PISY</t>
  </si>
  <si>
    <t>PCGL</t>
  </si>
  <si>
    <t>TSME</t>
  </si>
  <si>
    <t>PIED</t>
  </si>
  <si>
    <t>PCEN</t>
  </si>
  <si>
    <t>ABAL</t>
  </si>
  <si>
    <t>FASY</t>
  </si>
  <si>
    <t>LADE</t>
  </si>
  <si>
    <t>PINI</t>
  </si>
  <si>
    <t>LASI</t>
  </si>
  <si>
    <t>NOPU</t>
  </si>
  <si>
    <t>TSCA</t>
  </si>
  <si>
    <t>ABLA</t>
  </si>
  <si>
    <t>PIFL</t>
  </si>
  <si>
    <t>LALY</t>
  </si>
  <si>
    <t>LIBI</t>
  </si>
  <si>
    <t>QUPE</t>
  </si>
  <si>
    <t>AUCH</t>
  </si>
  <si>
    <t>PCSI</t>
  </si>
  <si>
    <t>QUDG</t>
  </si>
  <si>
    <t>ABSB</t>
  </si>
  <si>
    <t>JUOC</t>
  </si>
  <si>
    <t>ARAR</t>
  </si>
  <si>
    <t>QUAL</t>
  </si>
  <si>
    <t>PIJE</t>
  </si>
  <si>
    <t>NOSO</t>
  </si>
  <si>
    <t>PSMA</t>
  </si>
  <si>
    <t>QUSP</t>
  </si>
  <si>
    <t>PIAL</t>
  </si>
  <si>
    <t>PICE</t>
  </si>
  <si>
    <t>PILO</t>
  </si>
  <si>
    <t>PCRU</t>
  </si>
  <si>
    <t>PICO</t>
  </si>
  <si>
    <t>SEGI</t>
  </si>
  <si>
    <t>JUSP</t>
  </si>
  <si>
    <t>PHAS</t>
  </si>
  <si>
    <t>PCMA</t>
  </si>
  <si>
    <t>TAMU</t>
  </si>
  <si>
    <t>ABBA</t>
  </si>
  <si>
    <t>Hmax_sd</t>
    <phoneticPr fontId="1" type="noConversion"/>
  </si>
  <si>
    <t>Hact_sd</t>
    <phoneticPr fontId="1" type="noConversion"/>
  </si>
  <si>
    <t>Ks_sd</t>
    <phoneticPr fontId="1" type="noConversion"/>
  </si>
  <si>
    <t>Kl_sd</t>
    <phoneticPr fontId="1" type="noConversion"/>
  </si>
  <si>
    <t>P50_sd</t>
    <phoneticPr fontId="1" type="noConversion"/>
  </si>
  <si>
    <t>Ppd_sd</t>
    <phoneticPr fontId="1" type="noConversion"/>
  </si>
  <si>
    <t>Pmd_sd</t>
    <phoneticPr fontId="1" type="noConversion"/>
  </si>
  <si>
    <t>TLP_sd</t>
    <phoneticPr fontId="1" type="noConversion"/>
  </si>
  <si>
    <t>AlAs_sd</t>
    <phoneticPr fontId="1" type="noConversion"/>
  </si>
  <si>
    <t>WD_sd</t>
    <phoneticPr fontId="1" type="noConversion"/>
  </si>
  <si>
    <t>Vdia_sd</t>
    <phoneticPr fontId="1" type="noConversion"/>
  </si>
  <si>
    <t xml:space="preserve"> ABBA</t>
    <phoneticPr fontId="1" type="noConversion"/>
  </si>
  <si>
    <t xml:space="preserve"> ACRU</t>
    <phoneticPr fontId="1" type="noConversion"/>
  </si>
  <si>
    <t xml:space="preserve"> ACSA</t>
    <phoneticPr fontId="1" type="noConversion"/>
  </si>
  <si>
    <t xml:space="preserve"> FAGR</t>
    <phoneticPr fontId="1" type="noConversion"/>
  </si>
  <si>
    <t xml:space="preserve"> ABBA</t>
    <phoneticPr fontId="5" type="noConversion"/>
  </si>
  <si>
    <t>DTR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</si>
</sst>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3"/>
  <sheetViews>
    <sheetView tabSelected="1" topLeftCell="A25" workbookViewId="0">
      <selection activeCell="D2" sqref="D2:D47"/>
    </sheetView>
  </sheetViews>
  <sheetFormatPr defaultRowHeight="13.9" x14ac:dyDescent="0.4"/>
  <sheetData>
    <row r="2" spans="1:9" x14ac:dyDescent="0.4">
      <c r="A2" t="s">
        <v>5</v>
      </c>
      <c r="B2" s="1" t="s">
        <v>0</v>
      </c>
      <c r="C2" s="1" t="s">
        <v>1</v>
      </c>
      <c r="D2" t="s">
        <v>50</v>
      </c>
      <c r="E2" s="1" t="s">
        <v>47</v>
      </c>
      <c r="F2" t="s">
        <v>54</v>
      </c>
      <c r="G2" t="s">
        <v>56</v>
      </c>
      <c r="H2" t="s">
        <v>55</v>
      </c>
      <c r="I2" t="s">
        <v>127</v>
      </c>
    </row>
    <row r="3" spans="1:9" x14ac:dyDescent="0.4">
      <c r="A3" t="s">
        <v>6</v>
      </c>
      <c r="B3">
        <v>1.2995049999999999</v>
      </c>
      <c r="E3">
        <v>-3.85025</v>
      </c>
      <c r="F3">
        <v>-0.19160712999999999</v>
      </c>
      <c r="G3">
        <v>-6.7440300999999994E-2</v>
      </c>
      <c r="H3">
        <v>0.12401377</v>
      </c>
      <c r="I3">
        <v>0.42337269</v>
      </c>
    </row>
    <row r="4" spans="1:9" x14ac:dyDescent="0.4">
      <c r="A4" s="3" t="s">
        <v>126</v>
      </c>
      <c r="B4">
        <v>1.6908131</v>
      </c>
      <c r="C4">
        <v>2.6619999999999999</v>
      </c>
      <c r="D4">
        <v>-2.91</v>
      </c>
      <c r="E4">
        <v>-2.0341665</v>
      </c>
      <c r="F4">
        <v>0.40502669484440401</v>
      </c>
      <c r="G4">
        <v>0.86844367</v>
      </c>
      <c r="H4">
        <v>0.25253311000000001</v>
      </c>
      <c r="I4">
        <v>-0.28624395000000002</v>
      </c>
    </row>
    <row r="5" spans="1:9" x14ac:dyDescent="0.4">
      <c r="A5" t="s">
        <v>7</v>
      </c>
      <c r="B5">
        <v>0.33815133333333303</v>
      </c>
      <c r="C5">
        <v>0.628</v>
      </c>
      <c r="E5">
        <v>-3.3839999999999999</v>
      </c>
      <c r="F5">
        <v>0.23400557</v>
      </c>
      <c r="G5">
        <v>0.27436688999999997</v>
      </c>
      <c r="H5">
        <v>-8.3442963999999994E-2</v>
      </c>
      <c r="I5">
        <v>-0.33096069</v>
      </c>
    </row>
    <row r="6" spans="1:9" x14ac:dyDescent="0.4">
      <c r="A6" t="s">
        <v>8</v>
      </c>
      <c r="F6">
        <v>6.4746982999999994E-2</v>
      </c>
      <c r="G6">
        <v>5.909114E-2</v>
      </c>
      <c r="H6">
        <v>-0.20457697</v>
      </c>
      <c r="I6">
        <v>-0.27987853000000001</v>
      </c>
    </row>
    <row r="7" spans="1:9" x14ac:dyDescent="0.4">
      <c r="A7" s="3" t="s">
        <v>123</v>
      </c>
      <c r="B7">
        <v>2.34</v>
      </c>
      <c r="C7">
        <v>2.85</v>
      </c>
      <c r="E7">
        <v>-3.016</v>
      </c>
      <c r="F7">
        <v>-0.19740843999999999</v>
      </c>
      <c r="G7">
        <v>6.4236835000000006E-2</v>
      </c>
      <c r="H7">
        <v>0.33447057000000002</v>
      </c>
      <c r="I7">
        <v>-7.9386449999999997E-2</v>
      </c>
    </row>
    <row r="8" spans="1:9" x14ac:dyDescent="0.4">
      <c r="A8" s="4" t="s">
        <v>124</v>
      </c>
      <c r="B8">
        <v>4.0250000000000004</v>
      </c>
      <c r="C8">
        <v>5.2649999999999997</v>
      </c>
      <c r="E8">
        <v>-2.3612082499999998</v>
      </c>
      <c r="F8">
        <v>-0.23251429000000001</v>
      </c>
      <c r="G8">
        <v>-0.25789261000000002</v>
      </c>
      <c r="H8">
        <v>0.53212725999999999</v>
      </c>
      <c r="I8">
        <v>0.29995274999999999</v>
      </c>
    </row>
    <row r="9" spans="1:9" x14ac:dyDescent="0.4">
      <c r="A9" t="s">
        <v>9</v>
      </c>
      <c r="F9">
        <v>-0.29515018999999998</v>
      </c>
      <c r="G9">
        <v>0.22359340999999999</v>
      </c>
      <c r="H9">
        <v>-4.3848444E-2</v>
      </c>
      <c r="I9">
        <v>-6.3487402999999998E-2</v>
      </c>
    </row>
    <row r="10" spans="1:9" x14ac:dyDescent="0.4">
      <c r="A10" t="s">
        <v>10</v>
      </c>
      <c r="C10">
        <v>1.59826</v>
      </c>
      <c r="E10">
        <v>-4.0842499999999999</v>
      </c>
      <c r="F10">
        <v>0.28533586999999999</v>
      </c>
      <c r="G10">
        <v>0.38783127000000001</v>
      </c>
      <c r="H10">
        <v>3.5423622000000002E-2</v>
      </c>
      <c r="I10">
        <v>0.23279737</v>
      </c>
    </row>
    <row r="11" spans="1:9" x14ac:dyDescent="0.4">
      <c r="A11" s="3" t="s">
        <v>125</v>
      </c>
      <c r="E11">
        <v>-5.08</v>
      </c>
      <c r="F11">
        <v>-0.21054684000000001</v>
      </c>
      <c r="G11">
        <v>-0.28903377000000002</v>
      </c>
      <c r="H11">
        <v>0.22736591</v>
      </c>
      <c r="I11">
        <v>6.3246443999999999E-2</v>
      </c>
    </row>
    <row r="12" spans="1:9" x14ac:dyDescent="0.4">
      <c r="A12" t="s">
        <v>11</v>
      </c>
      <c r="B12">
        <v>1.83</v>
      </c>
      <c r="C12">
        <v>7.2</v>
      </c>
      <c r="D12">
        <v>-2.17</v>
      </c>
      <c r="E12">
        <v>-3.0833333333333299</v>
      </c>
      <c r="F12">
        <v>-0.66910749999999997</v>
      </c>
      <c r="G12">
        <v>-0.56384838000000004</v>
      </c>
      <c r="H12">
        <v>0.78117537000000004</v>
      </c>
      <c r="I12">
        <v>0.14581422999999999</v>
      </c>
    </row>
    <row r="13" spans="1:9" x14ac:dyDescent="0.4">
      <c r="A13" t="s">
        <v>12</v>
      </c>
      <c r="B13">
        <v>0.28000000000000003</v>
      </c>
      <c r="D13">
        <v>-2.67</v>
      </c>
      <c r="E13">
        <v>-9</v>
      </c>
      <c r="F13">
        <v>-0.19586946</v>
      </c>
      <c r="G13">
        <v>0.13189962999999999</v>
      </c>
      <c r="H13">
        <v>-0.36827694999999999</v>
      </c>
      <c r="I13">
        <v>-0.22859953</v>
      </c>
    </row>
    <row r="14" spans="1:9" x14ac:dyDescent="0.4">
      <c r="A14" t="s">
        <v>13</v>
      </c>
      <c r="F14">
        <v>0.55258255999999994</v>
      </c>
      <c r="G14">
        <v>8.8657982999999996E-2</v>
      </c>
      <c r="H14">
        <v>-0.16611992</v>
      </c>
      <c r="I14">
        <v>0.26712789999999997</v>
      </c>
    </row>
    <row r="15" spans="1:9" x14ac:dyDescent="0.4">
      <c r="A15" t="s">
        <v>14</v>
      </c>
      <c r="B15">
        <v>0.434</v>
      </c>
      <c r="E15">
        <v>-3.7111666666666698</v>
      </c>
      <c r="F15">
        <v>-0.31611127</v>
      </c>
      <c r="G15">
        <v>-0.36496456999999999</v>
      </c>
      <c r="H15">
        <v>0.26111733999999998</v>
      </c>
      <c r="I15">
        <v>0.23879133</v>
      </c>
    </row>
    <row r="16" spans="1:9" x14ac:dyDescent="0.4">
      <c r="A16" t="s">
        <v>15</v>
      </c>
      <c r="D16">
        <v>-1.615</v>
      </c>
      <c r="F16">
        <v>1.2879994000000001E-2</v>
      </c>
      <c r="G16">
        <v>0.19147465</v>
      </c>
      <c r="H16">
        <v>0.12796551</v>
      </c>
      <c r="I16">
        <v>-8.560653E-2</v>
      </c>
    </row>
    <row r="17" spans="1:9" x14ac:dyDescent="0.4">
      <c r="A17" t="s">
        <v>16</v>
      </c>
      <c r="F17">
        <v>-4.3573650999999998E-2</v>
      </c>
      <c r="G17">
        <v>-7.4015230000000001E-2</v>
      </c>
      <c r="H17">
        <v>-3.7394287000000002E-3</v>
      </c>
      <c r="I17">
        <v>-0.23241711000000001</v>
      </c>
    </row>
    <row r="18" spans="1:9" x14ac:dyDescent="0.4">
      <c r="A18" t="s">
        <v>17</v>
      </c>
      <c r="F18">
        <v>-0.16579353999999999</v>
      </c>
      <c r="G18">
        <v>-0.15169843999999999</v>
      </c>
      <c r="H18">
        <v>0.24733156000000001</v>
      </c>
      <c r="I18">
        <v>-0.14705011000000001</v>
      </c>
    </row>
    <row r="19" spans="1:9" x14ac:dyDescent="0.4">
      <c r="A19" t="s">
        <v>18</v>
      </c>
      <c r="B19">
        <v>1.127</v>
      </c>
      <c r="E19">
        <v>-2.8849999999999998</v>
      </c>
      <c r="F19">
        <v>0.31773405999999998</v>
      </c>
      <c r="G19">
        <v>0.35514839999999998</v>
      </c>
      <c r="H19">
        <v>-4.613068E-2</v>
      </c>
      <c r="I19">
        <v>-0.22685272000000001</v>
      </c>
    </row>
    <row r="20" spans="1:9" x14ac:dyDescent="0.4">
      <c r="A20" t="s">
        <v>19</v>
      </c>
      <c r="F20">
        <v>-1.2400042E-2</v>
      </c>
      <c r="G20">
        <v>2.3905330999999998E-2</v>
      </c>
      <c r="H20">
        <v>0.20166888999999999</v>
      </c>
      <c r="I20">
        <v>3.4725214999999997E-2</v>
      </c>
    </row>
    <row r="21" spans="1:9" x14ac:dyDescent="0.4">
      <c r="A21" t="s">
        <v>20</v>
      </c>
      <c r="B21">
        <v>0.52107000000000003</v>
      </c>
      <c r="C21">
        <v>2.1495000000000002</v>
      </c>
      <c r="E21">
        <v>-3.7267142857142899</v>
      </c>
      <c r="F21">
        <v>-0.29468745000000002</v>
      </c>
      <c r="G21">
        <v>-0.31523733999999998</v>
      </c>
      <c r="H21">
        <v>0.38320430999999999</v>
      </c>
      <c r="I21">
        <v>0.12551888999999999</v>
      </c>
    </row>
    <row r="22" spans="1:9" x14ac:dyDescent="0.4">
      <c r="A22" t="s">
        <v>21</v>
      </c>
      <c r="B22">
        <v>1.034</v>
      </c>
      <c r="D22">
        <v>-2.2400000000000002</v>
      </c>
      <c r="E22">
        <v>-5.492</v>
      </c>
      <c r="F22">
        <v>0.46271002</v>
      </c>
      <c r="G22">
        <v>0.44144844999999999</v>
      </c>
      <c r="H22">
        <v>-0.63324678000000001</v>
      </c>
      <c r="I22">
        <v>-0.11538416</v>
      </c>
    </row>
    <row r="23" spans="1:9" x14ac:dyDescent="0.4">
      <c r="A23" t="s">
        <v>22</v>
      </c>
      <c r="B23">
        <v>1.96423573333333</v>
      </c>
      <c r="C23">
        <v>2.7931933333333299</v>
      </c>
      <c r="E23">
        <v>-3.60255566666667</v>
      </c>
      <c r="F23">
        <v>-0.24463025999999999</v>
      </c>
      <c r="G23">
        <v>3.0709045000000001E-2</v>
      </c>
      <c r="H23">
        <v>8.2236378999999998E-2</v>
      </c>
      <c r="I23">
        <v>-2.0570839E-2</v>
      </c>
    </row>
    <row r="24" spans="1:9" x14ac:dyDescent="0.4">
      <c r="A24" t="s">
        <v>23</v>
      </c>
      <c r="B24">
        <v>1.2011591749999999</v>
      </c>
      <c r="C24">
        <v>4.7453525000000001</v>
      </c>
      <c r="E24">
        <v>-4.4513332500000002</v>
      </c>
      <c r="F24">
        <v>-0.14204733</v>
      </c>
      <c r="G24">
        <v>5.6425984999999998E-2</v>
      </c>
      <c r="H24">
        <v>-1.1176373E-2</v>
      </c>
      <c r="I24">
        <v>0.33556974000000001</v>
      </c>
    </row>
    <row r="25" spans="1:9" x14ac:dyDescent="0.4">
      <c r="A25" t="s">
        <v>24</v>
      </c>
      <c r="E25">
        <v>-2.4237500000000001</v>
      </c>
      <c r="F25">
        <v>3.5998034999999998E-2</v>
      </c>
      <c r="G25">
        <v>-0.11032002</v>
      </c>
      <c r="H25">
        <v>1.1985348E-2</v>
      </c>
      <c r="I25">
        <v>0.10200147</v>
      </c>
    </row>
    <row r="26" spans="1:9" x14ac:dyDescent="0.4">
      <c r="A26" t="s">
        <v>25</v>
      </c>
      <c r="E26">
        <v>-3.85</v>
      </c>
      <c r="F26">
        <v>-9.1614901999999998E-2</v>
      </c>
      <c r="G26">
        <v>2.3327344999999999E-2</v>
      </c>
      <c r="H26">
        <v>1.5915478E-2</v>
      </c>
      <c r="I26">
        <v>-9.6916533999999999E-2</v>
      </c>
    </row>
    <row r="27" spans="1:9" x14ac:dyDescent="0.4">
      <c r="A27" t="s">
        <v>26</v>
      </c>
      <c r="C27">
        <v>0.31</v>
      </c>
      <c r="F27">
        <v>-4.6792790000000001E-2</v>
      </c>
      <c r="G27">
        <v>-4.6800899999999999E-2</v>
      </c>
      <c r="H27">
        <v>3.3410519E-2</v>
      </c>
      <c r="I27">
        <v>-0.22530744999999999</v>
      </c>
    </row>
    <row r="28" spans="1:9" x14ac:dyDescent="0.4">
      <c r="A28" t="s">
        <v>27</v>
      </c>
      <c r="B28">
        <v>0.21</v>
      </c>
      <c r="C28">
        <v>1.19</v>
      </c>
      <c r="E28">
        <v>-3.3895</v>
      </c>
      <c r="F28">
        <v>0.51582693999999996</v>
      </c>
      <c r="G28">
        <v>0.26512584</v>
      </c>
      <c r="H28">
        <v>0.1586861</v>
      </c>
      <c r="I28">
        <v>-0.17410327</v>
      </c>
    </row>
    <row r="29" spans="1:9" x14ac:dyDescent="0.4">
      <c r="A29" t="s">
        <v>28</v>
      </c>
      <c r="B29">
        <v>0.26715</v>
      </c>
      <c r="D29">
        <v>-2.0499999999999998</v>
      </c>
      <c r="E29">
        <v>-3.2895556666666699</v>
      </c>
      <c r="F29">
        <v>0.14222382</v>
      </c>
      <c r="G29">
        <v>0.11487427</v>
      </c>
      <c r="H29">
        <v>-0.14115688000000001</v>
      </c>
      <c r="I29">
        <v>-5.5273390999999998E-2</v>
      </c>
    </row>
    <row r="30" spans="1:9" x14ac:dyDescent="0.4">
      <c r="A30" t="s">
        <v>29</v>
      </c>
      <c r="B30">
        <v>0.40546067499999999</v>
      </c>
      <c r="C30">
        <v>1.64970166666667</v>
      </c>
      <c r="E30">
        <v>-3.7665833333333301</v>
      </c>
      <c r="F30">
        <v>0.25415116999999998</v>
      </c>
      <c r="G30">
        <v>-1.7658073E-2</v>
      </c>
      <c r="H30">
        <v>-0.47518882000000001</v>
      </c>
      <c r="I30">
        <v>-1.7986037E-2</v>
      </c>
    </row>
    <row r="31" spans="1:9" x14ac:dyDescent="0.4">
      <c r="A31" t="s">
        <v>30</v>
      </c>
      <c r="E31">
        <v>-5.3038333333333298</v>
      </c>
      <c r="F31">
        <v>-2.1563584E-2</v>
      </c>
      <c r="G31">
        <v>0.35797414</v>
      </c>
      <c r="H31">
        <v>0.12715755000000001</v>
      </c>
      <c r="I31">
        <v>-0.45258125999999999</v>
      </c>
    </row>
    <row r="32" spans="1:9" x14ac:dyDescent="0.4">
      <c r="A32" t="s">
        <v>31</v>
      </c>
      <c r="E32">
        <v>-4.1746666666666696</v>
      </c>
      <c r="F32">
        <v>-3.1514111999999997E-2</v>
      </c>
      <c r="G32">
        <v>0.15223049</v>
      </c>
      <c r="H32">
        <v>0.23182854</v>
      </c>
      <c r="I32">
        <v>0.10048993000000001</v>
      </c>
    </row>
    <row r="33" spans="1:9" x14ac:dyDescent="0.4">
      <c r="A33" t="s">
        <v>32</v>
      </c>
      <c r="F33">
        <v>7.8119777000000001E-2</v>
      </c>
      <c r="G33">
        <v>-0.18635707000000001</v>
      </c>
      <c r="H33">
        <v>8.4303199999999995E-2</v>
      </c>
      <c r="I33">
        <v>-0.20631213000000001</v>
      </c>
    </row>
    <row r="34" spans="1:9" x14ac:dyDescent="0.4">
      <c r="A34" t="s">
        <v>33</v>
      </c>
      <c r="F34">
        <v>-1.0455351999999999E-2</v>
      </c>
      <c r="G34">
        <v>-0.25857841999999998</v>
      </c>
      <c r="H34">
        <v>-0.14018211</v>
      </c>
      <c r="I34">
        <v>0.25298101000000001</v>
      </c>
    </row>
    <row r="35" spans="1:9" x14ac:dyDescent="0.4">
      <c r="A35" t="s">
        <v>34</v>
      </c>
      <c r="B35">
        <v>0.40699999999999997</v>
      </c>
      <c r="C35">
        <v>3.24</v>
      </c>
      <c r="D35">
        <v>-2.34</v>
      </c>
      <c r="E35">
        <v>-3.15</v>
      </c>
      <c r="F35">
        <v>-0.45168659</v>
      </c>
      <c r="G35">
        <v>-0.11384296000000001</v>
      </c>
      <c r="H35">
        <v>-0.25620851</v>
      </c>
      <c r="I35">
        <v>0.46615698999999999</v>
      </c>
    </row>
    <row r="36" spans="1:9" x14ac:dyDescent="0.4">
      <c r="A36" t="s">
        <v>35</v>
      </c>
      <c r="B36">
        <v>0.76919308333333303</v>
      </c>
      <c r="C36">
        <v>5.8668566666666697</v>
      </c>
      <c r="E36">
        <v>-2.9522272727272698</v>
      </c>
      <c r="F36">
        <v>0.33252335</v>
      </c>
      <c r="G36">
        <v>-1.1430625E-2</v>
      </c>
      <c r="H36">
        <v>5.0160505000000001E-2</v>
      </c>
      <c r="I36">
        <v>-0.20708409999999999</v>
      </c>
    </row>
    <row r="37" spans="1:9" x14ac:dyDescent="0.4">
      <c r="A37" t="s">
        <v>36</v>
      </c>
      <c r="B37">
        <v>0.44562227999999998</v>
      </c>
      <c r="C37">
        <v>2.77428092857143</v>
      </c>
      <c r="E37">
        <v>-3.2205087894736799</v>
      </c>
      <c r="F37">
        <v>7.0729859000000006E-2</v>
      </c>
      <c r="G37">
        <v>0.18688869</v>
      </c>
      <c r="H37">
        <v>-0.12377674</v>
      </c>
      <c r="I37">
        <v>0.25747262999999998</v>
      </c>
    </row>
    <row r="38" spans="1:9" x14ac:dyDescent="0.4">
      <c r="A38" t="s">
        <v>37</v>
      </c>
      <c r="F38">
        <v>0.30657390000000001</v>
      </c>
      <c r="G38">
        <v>4.0776931000000002E-2</v>
      </c>
      <c r="H38">
        <v>0.37977203999999998</v>
      </c>
      <c r="I38">
        <v>2.4754849999999998E-2</v>
      </c>
    </row>
    <row r="39" spans="1:9" x14ac:dyDescent="0.4">
      <c r="A39" t="s">
        <v>38</v>
      </c>
      <c r="B39">
        <v>0.68237199999999998</v>
      </c>
      <c r="C39">
        <v>0.38733333333333297</v>
      </c>
      <c r="E39">
        <v>-3.9702023571428602</v>
      </c>
      <c r="F39">
        <v>0.40457179999999998</v>
      </c>
      <c r="G39">
        <v>0.10205649999999999</v>
      </c>
      <c r="H39">
        <v>-0.24367040000000001</v>
      </c>
      <c r="I39">
        <v>-9.4204461000000003E-3</v>
      </c>
    </row>
    <row r="40" spans="1:9" x14ac:dyDescent="0.4">
      <c r="A40" t="s">
        <v>39</v>
      </c>
      <c r="B40">
        <v>4.6566666666666698</v>
      </c>
      <c r="C40">
        <v>4.8466666666666702</v>
      </c>
      <c r="E40">
        <v>-2.18333333333333</v>
      </c>
      <c r="F40">
        <v>-0.49236447</v>
      </c>
      <c r="G40">
        <v>-0.46223140000000001</v>
      </c>
      <c r="H40">
        <v>0.22687101000000001</v>
      </c>
      <c r="I40">
        <v>0.11736945999999999</v>
      </c>
    </row>
    <row r="41" spans="1:9" x14ac:dyDescent="0.4">
      <c r="A41" t="s">
        <v>40</v>
      </c>
      <c r="F41">
        <v>-0.36111053999999998</v>
      </c>
      <c r="G41">
        <v>-0.19594669000000001</v>
      </c>
      <c r="H41">
        <v>-6.9758713E-2</v>
      </c>
      <c r="I41">
        <v>-3.6998733999999998E-2</v>
      </c>
    </row>
    <row r="42" spans="1:9" x14ac:dyDescent="0.4">
      <c r="A42" t="s">
        <v>41</v>
      </c>
      <c r="D42">
        <v>-2.2349999999999999</v>
      </c>
      <c r="E42">
        <v>-3.4316665</v>
      </c>
      <c r="F42">
        <v>8.0188579999999995E-2</v>
      </c>
      <c r="G42">
        <v>-0.14260112999999999</v>
      </c>
      <c r="H42">
        <v>2.9305324000000001E-2</v>
      </c>
      <c r="I42">
        <v>0.11257801000000001</v>
      </c>
    </row>
    <row r="43" spans="1:9" x14ac:dyDescent="0.4">
      <c r="A43" t="s">
        <v>42</v>
      </c>
      <c r="F43">
        <v>0.36792865000000002</v>
      </c>
      <c r="G43">
        <v>0.25772532999999997</v>
      </c>
      <c r="H43">
        <v>-0.10036948</v>
      </c>
      <c r="I43">
        <v>-0.35524898999999999</v>
      </c>
    </row>
    <row r="44" spans="1:9" x14ac:dyDescent="0.4">
      <c r="A44" t="s">
        <v>43</v>
      </c>
      <c r="B44">
        <v>0.65</v>
      </c>
      <c r="C44">
        <v>1.98143</v>
      </c>
      <c r="E44">
        <v>-5.1615000000000002</v>
      </c>
      <c r="F44">
        <v>-6.6193998000000004E-2</v>
      </c>
      <c r="G44">
        <v>-0.24764468000000001</v>
      </c>
      <c r="H44">
        <v>-2.1249542E-2</v>
      </c>
      <c r="I44">
        <v>-0.23406448999999999</v>
      </c>
    </row>
    <row r="45" spans="1:9" x14ac:dyDescent="0.4">
      <c r="A45" t="s">
        <v>44</v>
      </c>
      <c r="B45">
        <v>1.4</v>
      </c>
      <c r="C45">
        <v>3.6723400000000002</v>
      </c>
      <c r="D45">
        <v>-1.52</v>
      </c>
      <c r="E45">
        <v>-2.8780000000000001</v>
      </c>
      <c r="F45">
        <v>2.1364398E-2</v>
      </c>
      <c r="G45">
        <v>-0.23899203999999999</v>
      </c>
      <c r="H45">
        <v>-0.15130036999999999</v>
      </c>
      <c r="I45">
        <v>0.20682312999999999</v>
      </c>
    </row>
    <row r="46" spans="1:9" x14ac:dyDescent="0.4">
      <c r="A46" t="s">
        <v>45</v>
      </c>
      <c r="B46">
        <v>0.32898680000000002</v>
      </c>
      <c r="C46">
        <v>1.085</v>
      </c>
      <c r="E46">
        <v>-3.07</v>
      </c>
      <c r="F46">
        <v>0.18176623</v>
      </c>
      <c r="G46">
        <v>-0.37005888999999997</v>
      </c>
      <c r="H46">
        <v>-0.34237885000000001</v>
      </c>
      <c r="I46">
        <v>0.26612478000000001</v>
      </c>
    </row>
    <row r="47" spans="1:9" x14ac:dyDescent="0.4">
      <c r="A47" t="s">
        <v>46</v>
      </c>
      <c r="B47" s="1"/>
      <c r="C47" s="1"/>
      <c r="E47" s="1">
        <v>-2.8780000000000001</v>
      </c>
      <c r="F47">
        <v>-0.41340977000000001</v>
      </c>
      <c r="G47">
        <v>-0.33042400999999999</v>
      </c>
      <c r="H47">
        <v>1.3013940999999999E-2</v>
      </c>
      <c r="I47">
        <v>0.72542185000000003</v>
      </c>
    </row>
    <row r="49" spans="1:11" x14ac:dyDescent="0.4">
      <c r="A49" s="3"/>
      <c r="K49" s="1"/>
    </row>
    <row r="50" spans="1:11" x14ac:dyDescent="0.4">
      <c r="A50" s="3"/>
      <c r="K50" s="1"/>
    </row>
    <row r="51" spans="1:11" x14ac:dyDescent="0.4">
      <c r="K51" s="1"/>
    </row>
    <row r="52" spans="1:11" x14ac:dyDescent="0.4">
      <c r="K52" s="1"/>
    </row>
    <row r="53" spans="1:11" x14ac:dyDescent="0.4">
      <c r="K53" s="1"/>
    </row>
  </sheetData>
  <sortState xmlns:xlrd2="http://schemas.microsoft.com/office/spreadsheetml/2017/richdata2" ref="A3:I47">
    <sortCondition ref="A3:A47"/>
  </sortState>
  <phoneticPr fontId="1" type="noConversion"/>
  <conditionalFormatting sqref="B3:C43 E3:E43">
    <cfRule type="cellIs" dxfId="9" priority="1" operator="lessThan">
      <formula>-0.3</formula>
    </cfRule>
    <cfRule type="cellIs" dxfId="8" priority="2" operator="greaterThan">
      <formula>0.3</formula>
    </cfRule>
  </conditionalFormatting>
  <conditionalFormatting sqref="B3:C43 E3:G43">
    <cfRule type="cellIs" dxfId="7" priority="4" operator="greaterThan">
      <formula>0.4</formula>
    </cfRule>
  </conditionalFormatting>
  <conditionalFormatting sqref="B3:C43 E3:H43">
    <cfRule type="cellIs" dxfId="6" priority="3" operator="lessThan">
      <formula>-0.4</formula>
    </cfRule>
  </conditionalFormatting>
  <conditionalFormatting sqref="H3:H43">
    <cfRule type="cellIs" dxfId="5" priority="6" operator="greaterThan">
      <formula>0.3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FF8FC-4ECA-4A5D-B5EA-611E4E6B487F}">
  <dimension ref="B1:E12"/>
  <sheetViews>
    <sheetView workbookViewId="0">
      <selection activeCell="G16" sqref="G16"/>
    </sheetView>
  </sheetViews>
  <sheetFormatPr defaultRowHeight="13.9" x14ac:dyDescent="0.4"/>
  <sheetData>
    <row r="1" spans="2:5" x14ac:dyDescent="0.4">
      <c r="B1" t="s">
        <v>57</v>
      </c>
      <c r="C1" t="s">
        <v>54</v>
      </c>
      <c r="D1" t="s">
        <v>56</v>
      </c>
      <c r="E1" t="s">
        <v>55</v>
      </c>
    </row>
    <row r="2" spans="2:5" x14ac:dyDescent="0.4">
      <c r="B2" t="s">
        <v>67</v>
      </c>
      <c r="C2">
        <v>0.11376204439849749</v>
      </c>
      <c r="D2">
        <v>-0.25012984349148376</v>
      </c>
      <c r="E2">
        <v>-0.26256718374411964</v>
      </c>
    </row>
    <row r="3" spans="2:5" x14ac:dyDescent="0.4">
      <c r="B3" t="s">
        <v>68</v>
      </c>
      <c r="C3">
        <v>1.7014325284353864E-2</v>
      </c>
      <c r="D3">
        <v>-9.9638699299849642E-2</v>
      </c>
      <c r="E3">
        <v>-2.5687979439095159E-2</v>
      </c>
    </row>
    <row r="4" spans="2:5" x14ac:dyDescent="0.4">
      <c r="B4" t="s">
        <v>0</v>
      </c>
      <c r="C4">
        <v>-0.42288770390935981</v>
      </c>
      <c r="D4">
        <v>-0.25439740063131849</v>
      </c>
      <c r="E4">
        <v>0.51647019743609779</v>
      </c>
    </row>
    <row r="5" spans="2:5" x14ac:dyDescent="0.4">
      <c r="B5" t="s">
        <v>1</v>
      </c>
      <c r="C5">
        <v>-0.57084624931885319</v>
      </c>
      <c r="D5">
        <v>-0.40847925230174037</v>
      </c>
      <c r="E5">
        <v>0.57167026216422068</v>
      </c>
    </row>
    <row r="6" spans="2:5" x14ac:dyDescent="0.4">
      <c r="B6" t="s">
        <v>47</v>
      </c>
      <c r="C6">
        <v>3.377545901694344E-2</v>
      </c>
      <c r="D6">
        <v>-0.12840459880482927</v>
      </c>
      <c r="E6">
        <v>0.36896382764913577</v>
      </c>
    </row>
    <row r="7" spans="2:5" x14ac:dyDescent="0.4">
      <c r="B7" t="s">
        <v>48</v>
      </c>
      <c r="C7">
        <v>-0.27439492209525129</v>
      </c>
      <c r="D7">
        <v>2.4195037096017041E-2</v>
      </c>
      <c r="E7">
        <v>0.17406368790389085</v>
      </c>
    </row>
    <row r="8" spans="2:5" x14ac:dyDescent="0.4">
      <c r="B8" t="s">
        <v>49</v>
      </c>
      <c r="C8">
        <v>0.1978430988649145</v>
      </c>
      <c r="D8">
        <v>0.18826418672402512</v>
      </c>
      <c r="E8">
        <v>0.10006316289761853</v>
      </c>
    </row>
    <row r="9" spans="2:5" x14ac:dyDescent="0.4">
      <c r="B9" t="s">
        <v>50</v>
      </c>
      <c r="C9">
        <v>-0.11438027326430805</v>
      </c>
      <c r="D9">
        <v>0.3148623636680164</v>
      </c>
      <c r="E9">
        <v>0.1114106714394488</v>
      </c>
    </row>
    <row r="10" spans="2:5" x14ac:dyDescent="0.4">
      <c r="B10" t="s">
        <v>51</v>
      </c>
      <c r="C10">
        <v>-0.30902678445129733</v>
      </c>
      <c r="D10">
        <v>-0.14498047848539677</v>
      </c>
      <c r="E10">
        <v>0.12233791415042697</v>
      </c>
    </row>
    <row r="11" spans="2:5" x14ac:dyDescent="0.4">
      <c r="B11" t="s">
        <v>52</v>
      </c>
      <c r="C11">
        <v>-0.30298544090268892</v>
      </c>
      <c r="D11">
        <v>-7.8260551599588016E-2</v>
      </c>
      <c r="E11">
        <v>0.23873683045248409</v>
      </c>
    </row>
    <row r="12" spans="2:5" x14ac:dyDescent="0.4">
      <c r="B12" t="s">
        <v>53</v>
      </c>
      <c r="C12">
        <v>-0.18329889179082431</v>
      </c>
      <c r="D12">
        <v>-0.22537567566723382</v>
      </c>
      <c r="E12">
        <v>0.36390191667286576</v>
      </c>
    </row>
  </sheetData>
  <phoneticPr fontId="1" type="noConversion"/>
  <conditionalFormatting sqref="C2:E12">
    <cfRule type="cellIs" dxfId="4" priority="1" operator="lessThan">
      <formula>-0.3</formula>
    </cfRule>
    <cfRule type="cellIs" dxfId="3" priority="2" operator="greaterThan">
      <formula>0.3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003B-B94C-4F0B-B387-F4585857CD31}">
  <dimension ref="A1:AE54"/>
  <sheetViews>
    <sheetView workbookViewId="0">
      <selection activeCell="I1" sqref="I1:I46"/>
    </sheetView>
  </sheetViews>
  <sheetFormatPr defaultRowHeight="13.9" x14ac:dyDescent="0.4"/>
  <sheetData>
    <row r="1" spans="1:31" x14ac:dyDescent="0.4">
      <c r="A1" t="s">
        <v>66</v>
      </c>
      <c r="B1" t="s">
        <v>67</v>
      </c>
      <c r="C1" t="s">
        <v>68</v>
      </c>
      <c r="D1" t="s">
        <v>0</v>
      </c>
      <c r="E1" t="s">
        <v>1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2</v>
      </c>
      <c r="Y1" t="s">
        <v>3</v>
      </c>
      <c r="Z1" t="s">
        <v>4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</row>
    <row r="2" spans="1:31" x14ac:dyDescent="0.4">
      <c r="A2" t="s">
        <v>69</v>
      </c>
      <c r="B2">
        <v>118.125</v>
      </c>
      <c r="C2">
        <v>28.533333333333299</v>
      </c>
      <c r="D2">
        <v>0.68237199999999998</v>
      </c>
      <c r="E2">
        <v>0.38733333333333297</v>
      </c>
      <c r="F2">
        <v>-3.9702023571428602</v>
      </c>
      <c r="G2">
        <v>-1.69735375</v>
      </c>
      <c r="H2">
        <v>-2.3131481666666698</v>
      </c>
      <c r="J2">
        <v>0.43559526999999998</v>
      </c>
      <c r="K2">
        <v>0.46266932</v>
      </c>
      <c r="L2">
        <v>14.797117500000001</v>
      </c>
      <c r="M2">
        <v>7.5</v>
      </c>
      <c r="N2">
        <v>14.5348775937972</v>
      </c>
      <c r="O2">
        <v>0.65259716502939202</v>
      </c>
      <c r="P2">
        <v>0.19633984143146599</v>
      </c>
      <c r="Q2">
        <v>1.37898890525495</v>
      </c>
      <c r="R2">
        <v>0.96141626982779105</v>
      </c>
      <c r="S2">
        <v>0.24723697482408799</v>
      </c>
      <c r="U2">
        <v>0.34383347411082399</v>
      </c>
      <c r="V2">
        <v>5.8132202998613401E-2</v>
      </c>
      <c r="W2">
        <v>7.7527230123631403</v>
      </c>
      <c r="X2">
        <v>0.40457179999999998</v>
      </c>
      <c r="Y2">
        <v>0.10205649999999999</v>
      </c>
      <c r="Z2">
        <v>-0.24367040000000001</v>
      </c>
      <c r="AA2">
        <v>-9.4204461000000003E-3</v>
      </c>
      <c r="AB2">
        <v>0.2562218</v>
      </c>
      <c r="AC2">
        <v>0.26574159000000003</v>
      </c>
      <c r="AD2">
        <v>0.27722426999999999</v>
      </c>
      <c r="AE2">
        <v>0.29951754000000003</v>
      </c>
    </row>
    <row r="3" spans="1:31" x14ac:dyDescent="0.4">
      <c r="A3" t="s">
        <v>70</v>
      </c>
      <c r="B3">
        <v>72</v>
      </c>
      <c r="C3">
        <v>13.025</v>
      </c>
      <c r="D3">
        <v>0.76919308333333303</v>
      </c>
      <c r="E3">
        <v>5.8668566666666697</v>
      </c>
      <c r="F3">
        <v>-2.9522272727272698</v>
      </c>
      <c r="G3">
        <v>-1.05176916666667</v>
      </c>
      <c r="H3">
        <v>-2.0225</v>
      </c>
      <c r="I3">
        <v>-2.91</v>
      </c>
      <c r="J3">
        <v>0.18172222222222201</v>
      </c>
      <c r="K3">
        <v>0.47991271666666702</v>
      </c>
      <c r="L3">
        <v>16.083140499999999</v>
      </c>
      <c r="N3">
        <v>5.3011791141216902</v>
      </c>
      <c r="O3">
        <v>1.0371452862094299</v>
      </c>
      <c r="P3">
        <v>4.7014247130453297</v>
      </c>
      <c r="Q3">
        <v>0.601395184701223</v>
      </c>
      <c r="R3">
        <v>0.43146419284126802</v>
      </c>
      <c r="S3">
        <v>4.6663690381280397E-2</v>
      </c>
      <c r="U3">
        <v>9.3600584637300505E-2</v>
      </c>
      <c r="V3">
        <v>1.08605207187163E-2</v>
      </c>
      <c r="W3">
        <v>6.6024394994276898</v>
      </c>
      <c r="X3">
        <v>0.33252335</v>
      </c>
      <c r="Y3">
        <v>-1.1430625E-2</v>
      </c>
      <c r="Z3">
        <v>5.0160505000000001E-2</v>
      </c>
      <c r="AA3">
        <v>-0.20708409999999999</v>
      </c>
      <c r="AB3">
        <v>0.23090336</v>
      </c>
      <c r="AC3">
        <v>0.17859989000000001</v>
      </c>
      <c r="AD3">
        <v>0.24931639</v>
      </c>
      <c r="AE3">
        <v>0.20419449000000001</v>
      </c>
    </row>
    <row r="4" spans="1:31" x14ac:dyDescent="0.4">
      <c r="A4" t="s">
        <v>71</v>
      </c>
      <c r="B4">
        <v>54.4444444444444</v>
      </c>
      <c r="C4">
        <v>13.5388888888889</v>
      </c>
      <c r="D4">
        <v>0.52107000000000003</v>
      </c>
      <c r="E4">
        <v>2.1495000000000002</v>
      </c>
      <c r="F4">
        <v>-3.7267142857142899</v>
      </c>
      <c r="H4">
        <v>-2.6150000000000002</v>
      </c>
      <c r="J4">
        <v>0.19750000000000001</v>
      </c>
      <c r="K4">
        <v>0.56597116666666702</v>
      </c>
      <c r="L4">
        <v>13.1583325</v>
      </c>
      <c r="M4">
        <v>1.6666666666666701</v>
      </c>
      <c r="N4">
        <v>7.4034526479954703</v>
      </c>
      <c r="O4">
        <v>9.9395202432847093E-2</v>
      </c>
      <c r="Q4">
        <v>0.14748413958311399</v>
      </c>
      <c r="S4">
        <v>0.99643650790490101</v>
      </c>
      <c r="V4">
        <v>9.6802381138499594E-2</v>
      </c>
      <c r="W4">
        <v>2.8847936128762601</v>
      </c>
      <c r="X4" s="2">
        <v>-0.29468745000000002</v>
      </c>
      <c r="Y4" s="2">
        <v>-0.31523733999999998</v>
      </c>
      <c r="Z4" s="2">
        <v>0.38320430999999999</v>
      </c>
      <c r="AA4">
        <v>0.12551888999999999</v>
      </c>
      <c r="AB4">
        <v>0.12153881</v>
      </c>
      <c r="AC4">
        <v>0.1134752</v>
      </c>
      <c r="AD4">
        <v>0.15478554</v>
      </c>
      <c r="AE4">
        <v>0.13913855999999999</v>
      </c>
    </row>
    <row r="5" spans="1:31" x14ac:dyDescent="0.4">
      <c r="A5" t="s">
        <v>72</v>
      </c>
      <c r="B5">
        <v>45</v>
      </c>
      <c r="C5">
        <v>11.744444444444399</v>
      </c>
      <c r="D5">
        <v>0.44562227999999998</v>
      </c>
      <c r="E5">
        <v>2.77428092857143</v>
      </c>
      <c r="F5">
        <v>-3.2205087894736799</v>
      </c>
      <c r="G5">
        <v>-1.4680952857142899</v>
      </c>
      <c r="H5">
        <v>-1.9850000000000001</v>
      </c>
      <c r="J5">
        <v>0.182624913333333</v>
      </c>
      <c r="K5">
        <v>0.48183292307692299</v>
      </c>
      <c r="L5">
        <v>14.4635521428571</v>
      </c>
      <c r="N5">
        <v>4.9190173842083302</v>
      </c>
      <c r="O5">
        <v>8.45716251878776E-2</v>
      </c>
      <c r="P5">
        <v>0.69111305755820895</v>
      </c>
      <c r="Q5">
        <v>0.32765875324635102</v>
      </c>
      <c r="R5">
        <v>0.61630874477724595</v>
      </c>
      <c r="S5">
        <v>0.329614099433648</v>
      </c>
      <c r="U5">
        <v>6.5620588990029496E-2</v>
      </c>
      <c r="V5">
        <v>4.8274979225857002E-2</v>
      </c>
      <c r="W5">
        <v>5.9289477532490196</v>
      </c>
      <c r="X5">
        <v>7.0729859000000006E-2</v>
      </c>
      <c r="Y5">
        <v>0.18688869</v>
      </c>
      <c r="Z5">
        <v>-0.12377674</v>
      </c>
      <c r="AA5">
        <v>0.25747262999999998</v>
      </c>
      <c r="AB5">
        <v>0.19838336000000001</v>
      </c>
      <c r="AC5">
        <v>0.15605868000000001</v>
      </c>
      <c r="AD5">
        <v>0.11625589</v>
      </c>
      <c r="AE5">
        <v>0.11685282</v>
      </c>
    </row>
    <row r="6" spans="1:31" x14ac:dyDescent="0.4">
      <c r="A6" t="s">
        <v>73</v>
      </c>
      <c r="B6">
        <v>40</v>
      </c>
      <c r="C6">
        <v>1.5</v>
      </c>
      <c r="D6">
        <v>1.96423573333333</v>
      </c>
      <c r="E6">
        <v>2.7931933333333299</v>
      </c>
      <c r="F6">
        <v>-3.60255566666667</v>
      </c>
      <c r="G6">
        <v>-0.40500000000000003</v>
      </c>
      <c r="H6">
        <v>-1.425</v>
      </c>
      <c r="J6">
        <v>0.15902374999999999</v>
      </c>
      <c r="K6">
        <v>0.46625630000000001</v>
      </c>
      <c r="L6">
        <v>22.260165000000001</v>
      </c>
      <c r="O6">
        <v>2.4359928218252702</v>
      </c>
      <c r="P6">
        <v>4.3633708474221304</v>
      </c>
      <c r="Q6">
        <v>0.78413984932302305</v>
      </c>
      <c r="U6">
        <v>3.35875721063652E-5</v>
      </c>
      <c r="V6">
        <v>1.8489852378534601E-2</v>
      </c>
      <c r="W6">
        <v>10.8854492769591</v>
      </c>
      <c r="X6">
        <v>-0.24463025999999999</v>
      </c>
      <c r="Y6">
        <v>3.0709045000000001E-2</v>
      </c>
      <c r="Z6">
        <v>8.2236378999999998E-2</v>
      </c>
      <c r="AA6">
        <v>-2.0570839E-2</v>
      </c>
      <c r="AB6">
        <v>0.16439117</v>
      </c>
      <c r="AC6">
        <v>0.19066200999999999</v>
      </c>
      <c r="AD6">
        <v>0.14419881000000001</v>
      </c>
      <c r="AE6">
        <v>0.14589379999999999</v>
      </c>
    </row>
    <row r="7" spans="1:31" x14ac:dyDescent="0.4">
      <c r="A7" t="s">
        <v>74</v>
      </c>
      <c r="X7">
        <v>-0.41340977000000001</v>
      </c>
      <c r="Y7">
        <v>-0.33042400999999999</v>
      </c>
      <c r="Z7">
        <v>1.3013940999999999E-2</v>
      </c>
      <c r="AA7">
        <v>0.72542185000000003</v>
      </c>
      <c r="AB7">
        <v>0.10635225</v>
      </c>
      <c r="AC7">
        <v>0.13207427999999999</v>
      </c>
      <c r="AD7">
        <v>9.6665815000000002E-2</v>
      </c>
      <c r="AE7">
        <v>0.10451050000000001</v>
      </c>
    </row>
    <row r="8" spans="1:31" x14ac:dyDescent="0.4">
      <c r="A8" t="s">
        <v>75</v>
      </c>
      <c r="B8">
        <v>20</v>
      </c>
      <c r="C8">
        <v>10</v>
      </c>
      <c r="F8">
        <v>-5.3038333333333298</v>
      </c>
      <c r="G8">
        <v>-2.1749999999999998</v>
      </c>
      <c r="H8">
        <v>-3.1766666666666699</v>
      </c>
      <c r="K8">
        <v>0.6032961</v>
      </c>
      <c r="L8">
        <v>11</v>
      </c>
      <c r="Q8">
        <v>1.5289617664720501</v>
      </c>
      <c r="R8">
        <v>0.65760930650348903</v>
      </c>
      <c r="S8">
        <v>1.32719001402713</v>
      </c>
      <c r="X8">
        <v>-2.1563584E-2</v>
      </c>
      <c r="Y8">
        <v>0.35797414</v>
      </c>
      <c r="Z8">
        <v>0.12715755000000001</v>
      </c>
      <c r="AA8">
        <v>-0.45258125999999999</v>
      </c>
      <c r="AB8">
        <v>0.16774119000000001</v>
      </c>
      <c r="AC8">
        <v>0.14299265</v>
      </c>
      <c r="AD8">
        <v>0.13525756999999999</v>
      </c>
      <c r="AE8">
        <v>0.11670055</v>
      </c>
    </row>
    <row r="9" spans="1:31" x14ac:dyDescent="0.4">
      <c r="A9" t="s">
        <v>76</v>
      </c>
      <c r="B9">
        <v>65</v>
      </c>
      <c r="C9">
        <v>15</v>
      </c>
      <c r="D9">
        <v>1.034</v>
      </c>
      <c r="F9">
        <v>-5.492</v>
      </c>
      <c r="K9">
        <v>0.54631759999999996</v>
      </c>
      <c r="L9">
        <v>12.35571</v>
      </c>
      <c r="Q9">
        <v>2.1659142796211199</v>
      </c>
      <c r="V9">
        <v>3.5782091223403902E-2</v>
      </c>
      <c r="X9" s="2">
        <v>0.46271002</v>
      </c>
      <c r="Y9" s="2">
        <v>0.44144844999999999</v>
      </c>
      <c r="Z9" s="2">
        <v>-0.63324678000000001</v>
      </c>
      <c r="AA9">
        <v>-0.11538416</v>
      </c>
      <c r="AB9">
        <v>4.5920130000000003E-2</v>
      </c>
      <c r="AC9">
        <v>7.9215466999999998E-2</v>
      </c>
      <c r="AD9">
        <v>7.2193711999999993E-2</v>
      </c>
      <c r="AE9">
        <v>6.8681098999999995E-2</v>
      </c>
    </row>
    <row r="10" spans="1:31" x14ac:dyDescent="0.4">
      <c r="A10" t="s">
        <v>77</v>
      </c>
      <c r="B10">
        <v>52.5</v>
      </c>
      <c r="C10">
        <v>25</v>
      </c>
      <c r="D10">
        <v>1.2995049999999999</v>
      </c>
      <c r="F10">
        <v>-3.85025</v>
      </c>
      <c r="H10">
        <v>-4</v>
      </c>
      <c r="J10">
        <v>1.7</v>
      </c>
      <c r="K10">
        <v>0.47990545000000001</v>
      </c>
      <c r="L10">
        <v>17.18093</v>
      </c>
      <c r="M10">
        <v>5</v>
      </c>
      <c r="N10">
        <v>4.0824829046386304</v>
      </c>
      <c r="Q10">
        <v>0.27598354419542298</v>
      </c>
      <c r="V10">
        <v>3.0799520778820599E-2</v>
      </c>
      <c r="W10">
        <v>3.8585008584811802</v>
      </c>
      <c r="X10" s="2">
        <v>-0.19160712999999999</v>
      </c>
      <c r="Y10" s="2">
        <v>-6.7440300999999994E-2</v>
      </c>
      <c r="Z10" s="2">
        <v>0.12401377</v>
      </c>
      <c r="AA10">
        <v>0.42337269</v>
      </c>
      <c r="AB10">
        <v>0.19480597999999999</v>
      </c>
      <c r="AC10">
        <v>0.21323232</v>
      </c>
      <c r="AD10">
        <v>0.15649846000000001</v>
      </c>
      <c r="AE10">
        <v>0.17175438000000001</v>
      </c>
    </row>
    <row r="11" spans="1:31" x14ac:dyDescent="0.4">
      <c r="A11" t="s">
        <v>78</v>
      </c>
      <c r="B11">
        <v>50</v>
      </c>
      <c r="C11">
        <v>22.5</v>
      </c>
      <c r="D11">
        <v>1.83</v>
      </c>
      <c r="E11">
        <v>7.2</v>
      </c>
      <c r="F11">
        <v>-3.0833333333333299</v>
      </c>
      <c r="H11">
        <v>-2.2133333333333298</v>
      </c>
      <c r="I11">
        <v>-2.17</v>
      </c>
      <c r="K11">
        <v>0.42167090000000002</v>
      </c>
      <c r="L11">
        <v>23.4</v>
      </c>
      <c r="N11">
        <v>3.53553390593274</v>
      </c>
      <c r="Q11">
        <v>0.160727512683216</v>
      </c>
      <c r="S11">
        <v>0.27135462651912401</v>
      </c>
      <c r="X11" s="2">
        <v>-0.66910749999999997</v>
      </c>
      <c r="Y11" s="2">
        <v>-0.56384838000000004</v>
      </c>
      <c r="Z11" s="2">
        <v>0.78117537000000004</v>
      </c>
      <c r="AA11">
        <v>0.14581422999999999</v>
      </c>
      <c r="AB11">
        <v>0.18690465000000001</v>
      </c>
      <c r="AC11">
        <v>0.18806995000000001</v>
      </c>
      <c r="AD11">
        <v>0.11632697</v>
      </c>
      <c r="AE11">
        <v>0.16650351999999999</v>
      </c>
    </row>
    <row r="12" spans="1:31" x14ac:dyDescent="0.4">
      <c r="A12" t="s">
        <v>79</v>
      </c>
      <c r="B12">
        <v>55</v>
      </c>
      <c r="C12">
        <v>13.3333333333333</v>
      </c>
      <c r="D12">
        <v>0.434</v>
      </c>
      <c r="F12">
        <v>-3.7111666666666698</v>
      </c>
      <c r="H12">
        <v>-2.7349999999999999</v>
      </c>
      <c r="I12">
        <v>-2.67</v>
      </c>
      <c r="K12">
        <v>0.53759043333333301</v>
      </c>
      <c r="L12">
        <v>15.112296666666699</v>
      </c>
      <c r="N12">
        <v>7.6376261582597298</v>
      </c>
      <c r="O12">
        <v>0.14142135623731</v>
      </c>
      <c r="Q12">
        <v>0.34956985472625202</v>
      </c>
      <c r="S12">
        <v>0.72831998462214398</v>
      </c>
      <c r="V12">
        <v>7.4524779332536997E-2</v>
      </c>
      <c r="W12">
        <v>1.3026318451632199</v>
      </c>
      <c r="X12" s="2">
        <v>-0.31611127</v>
      </c>
      <c r="Y12" s="2">
        <v>-0.36496456999999999</v>
      </c>
      <c r="Z12" s="2">
        <v>0.26111733999999998</v>
      </c>
      <c r="AA12">
        <v>0.23879133</v>
      </c>
      <c r="AB12">
        <v>0.1791209</v>
      </c>
      <c r="AC12">
        <v>0.13307843</v>
      </c>
      <c r="AD12">
        <v>0.19275880000000001</v>
      </c>
      <c r="AE12">
        <v>0.15306117</v>
      </c>
    </row>
    <row r="13" spans="1:31" x14ac:dyDescent="0.4">
      <c r="A13" t="s">
        <v>80</v>
      </c>
      <c r="B13">
        <v>55</v>
      </c>
      <c r="C13">
        <v>9</v>
      </c>
      <c r="D13">
        <v>0.40699999999999997</v>
      </c>
      <c r="E13">
        <v>3.24</v>
      </c>
      <c r="F13">
        <v>-3.15</v>
      </c>
      <c r="H13">
        <v>-2.4</v>
      </c>
      <c r="J13">
        <v>0.127</v>
      </c>
      <c r="N13">
        <v>1.4142135623731</v>
      </c>
      <c r="Q13">
        <v>0.49497474683058301</v>
      </c>
      <c r="X13">
        <v>-0.45168659</v>
      </c>
      <c r="Y13">
        <v>-0.11384296000000001</v>
      </c>
      <c r="Z13">
        <v>-0.25620851</v>
      </c>
      <c r="AA13">
        <v>0.46615698999999999</v>
      </c>
      <c r="AB13">
        <v>0.10687600999999999</v>
      </c>
      <c r="AC13">
        <v>0.11148387</v>
      </c>
      <c r="AD13">
        <v>0.10422736000000001</v>
      </c>
      <c r="AE13">
        <v>0.10067789000000001</v>
      </c>
    </row>
    <row r="14" spans="1:31" x14ac:dyDescent="0.4">
      <c r="A14" t="s">
        <v>81</v>
      </c>
      <c r="X14">
        <v>-4.3573650999999998E-2</v>
      </c>
      <c r="Y14">
        <v>-7.4015230000000001E-2</v>
      </c>
      <c r="Z14">
        <v>-3.7394287000000002E-3</v>
      </c>
      <c r="AA14">
        <v>-0.23241711000000001</v>
      </c>
      <c r="AB14">
        <v>0.16827653000000001</v>
      </c>
      <c r="AC14">
        <v>0.17864794000000001</v>
      </c>
      <c r="AD14">
        <v>0.14174990000000001</v>
      </c>
      <c r="AE14">
        <v>0.19180401</v>
      </c>
    </row>
    <row r="15" spans="1:31" x14ac:dyDescent="0.4">
      <c r="A15" t="s">
        <v>82</v>
      </c>
      <c r="B15">
        <v>30</v>
      </c>
      <c r="C15">
        <v>30</v>
      </c>
      <c r="D15">
        <v>1.127</v>
      </c>
      <c r="F15">
        <v>-2.8849999999999998</v>
      </c>
      <c r="G15">
        <v>-0.66200000000000003</v>
      </c>
      <c r="H15">
        <v>-1.4019999999999999</v>
      </c>
      <c r="I15">
        <v>-1.615</v>
      </c>
      <c r="J15">
        <v>0.1885</v>
      </c>
      <c r="K15">
        <v>0.53480000000000005</v>
      </c>
      <c r="O15">
        <v>0.50628845532956801</v>
      </c>
      <c r="P15">
        <v>30.3348809129029</v>
      </c>
      <c r="Q15">
        <v>0.94752308678997399</v>
      </c>
      <c r="R15">
        <v>1.55563491861041E-2</v>
      </c>
      <c r="S15">
        <v>4.2426406871192901E-3</v>
      </c>
      <c r="T15">
        <v>8.7681240867131999E-2</v>
      </c>
      <c r="U15">
        <v>1.20208152801713E-2</v>
      </c>
      <c r="V15">
        <v>4.8648946545634501E-2</v>
      </c>
      <c r="X15">
        <v>0.31773405999999998</v>
      </c>
      <c r="Y15">
        <v>0.35514839999999998</v>
      </c>
      <c r="Z15">
        <v>-4.613068E-2</v>
      </c>
      <c r="AA15">
        <v>-0.22685272000000001</v>
      </c>
      <c r="AB15">
        <v>0.10291909</v>
      </c>
      <c r="AC15">
        <v>7.5512997999999998E-2</v>
      </c>
      <c r="AD15">
        <v>8.4659531999999996E-2</v>
      </c>
      <c r="AE15">
        <v>8.3302282000000005E-2</v>
      </c>
    </row>
    <row r="16" spans="1:31" x14ac:dyDescent="0.4">
      <c r="A16" t="s">
        <v>83</v>
      </c>
      <c r="B16">
        <v>41.5</v>
      </c>
      <c r="C16">
        <v>8</v>
      </c>
      <c r="D16">
        <v>0.32898680000000002</v>
      </c>
      <c r="E16">
        <v>1.085</v>
      </c>
      <c r="F16">
        <v>-3.07</v>
      </c>
      <c r="J16">
        <v>0.3095</v>
      </c>
      <c r="L16">
        <v>20</v>
      </c>
      <c r="M16">
        <v>16.2634559672906</v>
      </c>
      <c r="X16">
        <v>0.18176623</v>
      </c>
      <c r="Y16">
        <v>-0.37005888999999997</v>
      </c>
      <c r="Z16">
        <v>-0.34237885000000001</v>
      </c>
      <c r="AA16">
        <v>0.26612478000000001</v>
      </c>
      <c r="AB16">
        <v>0.22399798000000001</v>
      </c>
      <c r="AC16">
        <v>0.20146554999999999</v>
      </c>
      <c r="AD16">
        <v>0.19402947000000001</v>
      </c>
      <c r="AE16">
        <v>0.23357762000000001</v>
      </c>
    </row>
    <row r="17" spans="1:31" x14ac:dyDescent="0.4">
      <c r="A17" t="s">
        <v>84</v>
      </c>
      <c r="B17">
        <v>50</v>
      </c>
      <c r="C17">
        <v>20</v>
      </c>
      <c r="D17">
        <v>0.33815133333333303</v>
      </c>
      <c r="E17">
        <v>0.628</v>
      </c>
      <c r="F17">
        <v>-3.3839999999999999</v>
      </c>
      <c r="H17">
        <v>-1.5</v>
      </c>
      <c r="J17">
        <v>0.35452565000000003</v>
      </c>
      <c r="K17">
        <v>0.48151094999999999</v>
      </c>
      <c r="L17">
        <v>13.937010000000001</v>
      </c>
      <c r="O17">
        <v>0.21335288304903099</v>
      </c>
      <c r="P17">
        <v>0.11313708498984799</v>
      </c>
      <c r="Q17">
        <v>0.27555707212844299</v>
      </c>
      <c r="U17">
        <v>0.19866073093554501</v>
      </c>
      <c r="V17">
        <v>1.2036300918679301E-2</v>
      </c>
      <c r="W17">
        <v>0.80661084743511802</v>
      </c>
      <c r="X17">
        <v>0.23400557</v>
      </c>
      <c r="Y17">
        <v>0.27436688999999997</v>
      </c>
      <c r="Z17">
        <v>-8.3442963999999994E-2</v>
      </c>
      <c r="AA17">
        <v>-0.33096069</v>
      </c>
      <c r="AB17">
        <v>0.12990662</v>
      </c>
      <c r="AC17">
        <v>0.14221954000000001</v>
      </c>
      <c r="AD17">
        <v>0.12348708</v>
      </c>
      <c r="AE17">
        <v>0.17633204</v>
      </c>
    </row>
    <row r="18" spans="1:31" x14ac:dyDescent="0.4">
      <c r="A18" t="s">
        <v>85</v>
      </c>
      <c r="B18">
        <v>23.3333333333333</v>
      </c>
      <c r="C18">
        <v>10</v>
      </c>
      <c r="F18">
        <v>-4.1746666666666696</v>
      </c>
      <c r="K18">
        <v>0.52856219999999998</v>
      </c>
      <c r="L18">
        <v>12.21265</v>
      </c>
      <c r="M18">
        <v>2.88675134594813</v>
      </c>
      <c r="Q18">
        <v>0.80136466938175699</v>
      </c>
      <c r="X18">
        <v>-3.1514111999999997E-2</v>
      </c>
      <c r="Y18">
        <v>0.15223049</v>
      </c>
      <c r="Z18">
        <v>0.23182854</v>
      </c>
      <c r="AA18">
        <v>0.10048993000000001</v>
      </c>
      <c r="AB18">
        <v>0.19664849000000001</v>
      </c>
      <c r="AC18">
        <v>0.23278435</v>
      </c>
      <c r="AD18">
        <v>0.19823832999999999</v>
      </c>
      <c r="AE18">
        <v>0.23026294</v>
      </c>
    </row>
    <row r="19" spans="1:31" x14ac:dyDescent="0.4">
      <c r="A19" t="s">
        <v>86</v>
      </c>
      <c r="X19">
        <v>1.2879994000000001E-2</v>
      </c>
      <c r="Y19">
        <v>0.19147465</v>
      </c>
      <c r="Z19">
        <v>0.12796551</v>
      </c>
      <c r="AA19">
        <v>-8.560653E-2</v>
      </c>
      <c r="AB19">
        <v>4.5929402000000001E-2</v>
      </c>
      <c r="AC19">
        <v>4.5621826999999997E-2</v>
      </c>
      <c r="AD19">
        <v>5.5495199000000002E-2</v>
      </c>
      <c r="AE19">
        <v>4.7088194999999999E-2</v>
      </c>
    </row>
    <row r="20" spans="1:31" x14ac:dyDescent="0.4">
      <c r="A20" t="s">
        <v>87</v>
      </c>
      <c r="X20">
        <v>-0.16579353999999999</v>
      </c>
      <c r="Y20">
        <v>-0.15169843999999999</v>
      </c>
      <c r="Z20">
        <v>0.24733156000000001</v>
      </c>
      <c r="AA20">
        <v>-0.14705011000000001</v>
      </c>
      <c r="AB20">
        <v>9.5423110000000005E-2</v>
      </c>
      <c r="AC20">
        <v>9.0279243999999995E-2</v>
      </c>
      <c r="AD20">
        <v>8.8636167000000002E-2</v>
      </c>
      <c r="AE20">
        <v>6.6616914999999999E-2</v>
      </c>
    </row>
    <row r="21" spans="1:31" x14ac:dyDescent="0.4">
      <c r="A21" t="s">
        <v>88</v>
      </c>
      <c r="B21">
        <v>40</v>
      </c>
      <c r="C21">
        <v>15</v>
      </c>
      <c r="F21">
        <v>-3.4316665</v>
      </c>
      <c r="G21">
        <v>-2.06</v>
      </c>
      <c r="H21">
        <v>-3.17</v>
      </c>
      <c r="I21">
        <v>-2.2400000000000002</v>
      </c>
      <c r="L21">
        <v>52.5</v>
      </c>
      <c r="Q21">
        <v>2.3567869016947801E-3</v>
      </c>
      <c r="X21">
        <v>8.0188579999999995E-2</v>
      </c>
      <c r="Y21">
        <v>-0.14260112999999999</v>
      </c>
      <c r="Z21">
        <v>2.9305324000000001E-2</v>
      </c>
      <c r="AA21">
        <v>0.11257801000000001</v>
      </c>
      <c r="AB21">
        <v>0.12854873999999999</v>
      </c>
      <c r="AC21">
        <v>0.18235244</v>
      </c>
      <c r="AD21">
        <v>0.1267702</v>
      </c>
      <c r="AE21">
        <v>0.13381894</v>
      </c>
    </row>
    <row r="22" spans="1:31" x14ac:dyDescent="0.4">
      <c r="A22" t="s">
        <v>89</v>
      </c>
      <c r="B22">
        <v>24</v>
      </c>
      <c r="E22">
        <v>1.59826</v>
      </c>
      <c r="F22">
        <v>-4.0842499999999999</v>
      </c>
      <c r="G22">
        <v>-0.47499999999999998</v>
      </c>
      <c r="H22">
        <v>-1.21</v>
      </c>
      <c r="K22">
        <v>0.57999999999999996</v>
      </c>
      <c r="L22">
        <v>13.876340000000001</v>
      </c>
      <c r="O22">
        <v>3.0411223257212101</v>
      </c>
      <c r="Q22">
        <v>3.9088070110968598</v>
      </c>
      <c r="X22">
        <v>0.28533586999999999</v>
      </c>
      <c r="Y22">
        <v>0.38783127000000001</v>
      </c>
      <c r="Z22">
        <v>3.5423622000000002E-2</v>
      </c>
      <c r="AA22">
        <v>0.23279737</v>
      </c>
      <c r="AB22">
        <v>6.9886453000000001E-2</v>
      </c>
      <c r="AC22">
        <v>7.9996467000000002E-2</v>
      </c>
      <c r="AD22">
        <v>7.5604781999999995E-2</v>
      </c>
      <c r="AE22">
        <v>6.8846665000000001E-2</v>
      </c>
    </row>
    <row r="23" spans="1:31" x14ac:dyDescent="0.4">
      <c r="A23" t="s">
        <v>90</v>
      </c>
      <c r="B23">
        <v>60</v>
      </c>
      <c r="C23">
        <v>15</v>
      </c>
      <c r="F23">
        <v>-3.85</v>
      </c>
      <c r="X23">
        <v>-9.1614901999999998E-2</v>
      </c>
      <c r="Y23">
        <v>2.3327344999999999E-2</v>
      </c>
      <c r="Z23">
        <v>1.5915478E-2</v>
      </c>
      <c r="AA23">
        <v>-9.6916533999999999E-2</v>
      </c>
      <c r="AB23">
        <v>4.7045190000000001E-2</v>
      </c>
      <c r="AC23">
        <v>9.0789251000000001E-2</v>
      </c>
      <c r="AD23">
        <v>8.6933911000000003E-2</v>
      </c>
      <c r="AE23">
        <v>8.8644713E-2</v>
      </c>
    </row>
    <row r="24" spans="1:31" x14ac:dyDescent="0.4">
      <c r="A24" t="s">
        <v>91</v>
      </c>
      <c r="X24">
        <v>-0.36111053999999998</v>
      </c>
      <c r="Y24">
        <v>-0.19594669000000001</v>
      </c>
      <c r="Z24">
        <v>-6.9758713E-2</v>
      </c>
      <c r="AA24">
        <v>-3.6998733999999998E-2</v>
      </c>
      <c r="AB24">
        <v>8.4216468000000003E-2</v>
      </c>
      <c r="AC24">
        <v>0.14619773999999999</v>
      </c>
      <c r="AD24">
        <v>0.13111519999999999</v>
      </c>
      <c r="AE24">
        <v>0.11517627</v>
      </c>
    </row>
    <row r="25" spans="1:31" x14ac:dyDescent="0.4">
      <c r="A25" t="s">
        <v>92</v>
      </c>
      <c r="X25">
        <v>6.4746982999999994E-2</v>
      </c>
      <c r="Y25">
        <v>5.909114E-2</v>
      </c>
      <c r="Z25">
        <v>-0.20457697</v>
      </c>
      <c r="AA25">
        <v>-0.27987853000000001</v>
      </c>
      <c r="AB25">
        <v>0.11456829</v>
      </c>
      <c r="AC25">
        <v>7.3336347999999996E-2</v>
      </c>
      <c r="AD25">
        <v>7.5699389000000006E-2</v>
      </c>
      <c r="AE25">
        <v>6.5493941E-2</v>
      </c>
    </row>
    <row r="26" spans="1:31" x14ac:dyDescent="0.4">
      <c r="A26" t="s">
        <v>93</v>
      </c>
      <c r="B26">
        <v>26</v>
      </c>
      <c r="D26">
        <v>0.28000000000000003</v>
      </c>
      <c r="F26">
        <v>-9</v>
      </c>
      <c r="H26">
        <v>-3.5</v>
      </c>
      <c r="K26">
        <v>0.60099999999999998</v>
      </c>
      <c r="L26">
        <v>8.1085799999999999</v>
      </c>
      <c r="X26" s="2">
        <v>-0.19586946</v>
      </c>
      <c r="Y26" s="2">
        <v>0.13189962999999999</v>
      </c>
      <c r="Z26" s="2">
        <v>-0.36827694999999999</v>
      </c>
      <c r="AA26">
        <v>-0.22859953</v>
      </c>
      <c r="AB26">
        <v>0.21791253999999999</v>
      </c>
      <c r="AC26">
        <v>0.20461894999999999</v>
      </c>
      <c r="AD26">
        <v>0.19641474</v>
      </c>
      <c r="AE26">
        <v>0.21074246999999999</v>
      </c>
    </row>
    <row r="27" spans="1:31" x14ac:dyDescent="0.4">
      <c r="A27" t="s">
        <v>94</v>
      </c>
      <c r="X27">
        <v>-0.29515018999999998</v>
      </c>
      <c r="Y27">
        <v>0.22359340999999999</v>
      </c>
      <c r="Z27">
        <v>-4.3848444E-2</v>
      </c>
      <c r="AA27">
        <v>-6.3487402999999998E-2</v>
      </c>
      <c r="AB27">
        <v>0.16299230000000001</v>
      </c>
      <c r="AC27">
        <v>0.14148034000000001</v>
      </c>
      <c r="AD27">
        <v>0.12016883</v>
      </c>
      <c r="AE27">
        <v>0.17616261999999999</v>
      </c>
    </row>
    <row r="28" spans="1:31" x14ac:dyDescent="0.4">
      <c r="A28" t="s">
        <v>95</v>
      </c>
      <c r="B28">
        <v>30</v>
      </c>
      <c r="D28">
        <v>4.6566666666666698</v>
      </c>
      <c r="E28">
        <v>4.8466666666666702</v>
      </c>
      <c r="F28">
        <v>-2.18333333333333</v>
      </c>
      <c r="H28">
        <v>-1.1399999999999999</v>
      </c>
      <c r="I28">
        <v>-2.0499999999999998</v>
      </c>
      <c r="J28">
        <v>0.84719488799999998</v>
      </c>
      <c r="K28">
        <v>0.63440419999999997</v>
      </c>
      <c r="O28">
        <v>2.8463368271048499</v>
      </c>
      <c r="P28">
        <v>2.4479651413640102</v>
      </c>
      <c r="Q28">
        <v>0.16165807537309501</v>
      </c>
      <c r="U28">
        <v>0.22513556967006601</v>
      </c>
      <c r="X28">
        <v>-0.49236447</v>
      </c>
      <c r="Y28">
        <v>-0.46223140000000001</v>
      </c>
      <c r="Z28">
        <v>0.22687101000000001</v>
      </c>
      <c r="AA28">
        <v>0.11736945999999999</v>
      </c>
      <c r="AB28">
        <v>0.10468787</v>
      </c>
      <c r="AC28">
        <v>0.11570651</v>
      </c>
      <c r="AD28">
        <v>0.14569815999999999</v>
      </c>
      <c r="AE28">
        <v>0.12266516</v>
      </c>
    </row>
    <row r="29" spans="1:31" x14ac:dyDescent="0.4">
      <c r="A29" t="s">
        <v>96</v>
      </c>
      <c r="X29">
        <v>7.8119777000000001E-2</v>
      </c>
      <c r="Y29">
        <v>-0.18635707000000001</v>
      </c>
      <c r="Z29">
        <v>8.4303199999999995E-2</v>
      </c>
      <c r="AA29">
        <v>-0.20631213000000001</v>
      </c>
      <c r="AB29">
        <v>7.9127281999999993E-2</v>
      </c>
      <c r="AC29">
        <v>5.0965056000000002E-2</v>
      </c>
      <c r="AD29">
        <v>0.1025364</v>
      </c>
      <c r="AE29">
        <v>8.5350432000000004E-2</v>
      </c>
    </row>
    <row r="30" spans="1:31" x14ac:dyDescent="0.4">
      <c r="A30" t="s">
        <v>97</v>
      </c>
      <c r="X30">
        <v>-1.2400042E-2</v>
      </c>
      <c r="Y30">
        <v>2.3905330999999998E-2</v>
      </c>
      <c r="Z30">
        <v>0.20166888999999999</v>
      </c>
      <c r="AA30">
        <v>3.4725214999999997E-2</v>
      </c>
      <c r="AB30">
        <v>0.16199838999999999</v>
      </c>
      <c r="AC30">
        <v>0.22734065000000001</v>
      </c>
      <c r="AD30">
        <v>0.16471237</v>
      </c>
      <c r="AE30">
        <v>0.18723971</v>
      </c>
    </row>
    <row r="31" spans="1:31" x14ac:dyDescent="0.4">
      <c r="A31" t="s">
        <v>98</v>
      </c>
      <c r="X31">
        <v>0.30657390000000001</v>
      </c>
      <c r="Y31">
        <v>4.0776931000000002E-2</v>
      </c>
      <c r="Z31">
        <v>0.37977203999999998</v>
      </c>
      <c r="AA31">
        <v>2.4754849999999998E-2</v>
      </c>
      <c r="AB31">
        <v>0.22940604000000001</v>
      </c>
      <c r="AC31">
        <v>0.25389426999999998</v>
      </c>
      <c r="AD31">
        <v>0.21455941000000001</v>
      </c>
      <c r="AE31">
        <v>0.25816317999999999</v>
      </c>
    </row>
    <row r="32" spans="1:31" x14ac:dyDescent="0.4">
      <c r="A32" t="s">
        <v>99</v>
      </c>
      <c r="X32">
        <v>0.36792865000000002</v>
      </c>
      <c r="Y32">
        <v>0.25772532999999997</v>
      </c>
      <c r="Z32">
        <v>-0.10036948</v>
      </c>
      <c r="AA32">
        <v>-0.35524898999999999</v>
      </c>
      <c r="AB32">
        <v>0.21908078</v>
      </c>
      <c r="AC32">
        <v>0.22538063</v>
      </c>
      <c r="AD32">
        <v>0.24172368999999999</v>
      </c>
      <c r="AE32">
        <v>0.20428785999999999</v>
      </c>
    </row>
    <row r="33" spans="1:31" x14ac:dyDescent="0.4">
      <c r="A33" t="s">
        <v>100</v>
      </c>
      <c r="B33">
        <v>29</v>
      </c>
      <c r="C33">
        <v>10</v>
      </c>
      <c r="D33">
        <v>0.21</v>
      </c>
      <c r="E33">
        <v>1.19</v>
      </c>
      <c r="F33">
        <v>-3.3895</v>
      </c>
      <c r="H33">
        <v>-1.5</v>
      </c>
      <c r="J33">
        <v>0.159</v>
      </c>
      <c r="K33">
        <v>0.45438630000000002</v>
      </c>
      <c r="L33">
        <v>11.354469999999999</v>
      </c>
      <c r="Q33">
        <v>0.27930717856868598</v>
      </c>
      <c r="X33">
        <v>0.51582693999999996</v>
      </c>
      <c r="Y33">
        <v>0.26512584</v>
      </c>
      <c r="Z33">
        <v>0.1586861</v>
      </c>
      <c r="AA33">
        <v>-0.17410327</v>
      </c>
      <c r="AB33">
        <v>7.211592E-2</v>
      </c>
      <c r="AC33">
        <v>0.1209947</v>
      </c>
      <c r="AD33">
        <v>0.1109488</v>
      </c>
      <c r="AE33">
        <v>6.8153314000000007E-2</v>
      </c>
    </row>
    <row r="34" spans="1:31" x14ac:dyDescent="0.4">
      <c r="A34" t="s">
        <v>101</v>
      </c>
      <c r="B34">
        <v>35</v>
      </c>
      <c r="C34">
        <v>4.9444443333333297</v>
      </c>
      <c r="D34">
        <v>0.26715</v>
      </c>
      <c r="F34">
        <v>-3.2895556666666699</v>
      </c>
      <c r="H34">
        <v>-1.915</v>
      </c>
      <c r="I34">
        <v>-2.34</v>
      </c>
      <c r="K34">
        <v>0.50520609999999999</v>
      </c>
      <c r="L34">
        <v>13.02</v>
      </c>
      <c r="N34">
        <v>1.9172702721046699</v>
      </c>
      <c r="O34">
        <v>6.1164736572636401E-2</v>
      </c>
      <c r="Q34">
        <v>0.30350266604485299</v>
      </c>
      <c r="V34">
        <v>3.6581889393933698E-2</v>
      </c>
      <c r="W34">
        <v>1.25865007051205</v>
      </c>
      <c r="X34">
        <v>0.14222382</v>
      </c>
      <c r="Y34">
        <v>0.11487427</v>
      </c>
      <c r="Z34">
        <v>-0.14115688000000001</v>
      </c>
      <c r="AA34">
        <v>-5.5273390999999998E-2</v>
      </c>
      <c r="AB34">
        <v>0.19903309999999999</v>
      </c>
      <c r="AC34">
        <v>0.24195481999999999</v>
      </c>
      <c r="AD34">
        <v>0.21800322999999999</v>
      </c>
      <c r="AE34">
        <v>0.25078299999999998</v>
      </c>
    </row>
    <row r="35" spans="1:31" x14ac:dyDescent="0.4">
      <c r="A35" t="s">
        <v>102</v>
      </c>
      <c r="X35">
        <v>-1.0455351999999999E-2</v>
      </c>
      <c r="Y35">
        <v>-0.25857841999999998</v>
      </c>
      <c r="Z35">
        <v>-0.14018211</v>
      </c>
      <c r="AA35">
        <v>0.25298101000000001</v>
      </c>
      <c r="AB35">
        <v>0.13699362000000001</v>
      </c>
      <c r="AC35">
        <v>0.12224591999999999</v>
      </c>
      <c r="AD35">
        <v>0.11977208</v>
      </c>
      <c r="AE35">
        <v>0.14817295999999999</v>
      </c>
    </row>
    <row r="36" spans="1:31" x14ac:dyDescent="0.4">
      <c r="A36" t="s">
        <v>103</v>
      </c>
      <c r="B36">
        <v>46</v>
      </c>
      <c r="F36">
        <v>-2.4237500000000001</v>
      </c>
      <c r="X36" s="2">
        <v>3.5998034999999998E-2</v>
      </c>
      <c r="Y36" s="2">
        <v>-0.11032002</v>
      </c>
      <c r="Z36" s="2">
        <v>1.1985348E-2</v>
      </c>
      <c r="AA36">
        <v>0.10200147</v>
      </c>
      <c r="AB36">
        <v>0.17641573999999999</v>
      </c>
      <c r="AC36">
        <v>0.14347905</v>
      </c>
      <c r="AD36">
        <v>0.18539864</v>
      </c>
      <c r="AE36">
        <v>0.16627893999999999</v>
      </c>
    </row>
    <row r="37" spans="1:31" x14ac:dyDescent="0.4">
      <c r="A37" t="s">
        <v>104</v>
      </c>
      <c r="B37">
        <v>48.571428571428598</v>
      </c>
      <c r="C37">
        <v>7.6749999999999998</v>
      </c>
      <c r="D37">
        <v>0.40546067499999999</v>
      </c>
      <c r="E37">
        <v>1.64970166666667</v>
      </c>
      <c r="F37">
        <v>-3.7665833333333301</v>
      </c>
      <c r="G37">
        <v>-0.74750000000000005</v>
      </c>
      <c r="H37">
        <v>-2.15</v>
      </c>
      <c r="J37">
        <v>0.14749999999999999</v>
      </c>
      <c r="K37">
        <v>0.42592333333333299</v>
      </c>
      <c r="L37">
        <v>14.973924999999999</v>
      </c>
      <c r="M37">
        <v>3.77964473009227</v>
      </c>
      <c r="N37">
        <v>6.3421210962894703</v>
      </c>
      <c r="O37">
        <v>0.18990606645924299</v>
      </c>
      <c r="P37">
        <v>1.5367886718766299</v>
      </c>
      <c r="Q37">
        <v>0.67227363600446699</v>
      </c>
      <c r="R37">
        <v>0.42779960261786099</v>
      </c>
      <c r="S37">
        <v>1.1691022196540399</v>
      </c>
      <c r="U37">
        <v>5.86898628384835E-2</v>
      </c>
      <c r="V37">
        <v>3.2446320435040601E-2</v>
      </c>
      <c r="W37">
        <v>1.38239375721974E-2</v>
      </c>
      <c r="X37">
        <v>0.25415116999999998</v>
      </c>
      <c r="Y37">
        <v>-1.7658073E-2</v>
      </c>
      <c r="Z37">
        <v>-0.47518882000000001</v>
      </c>
      <c r="AA37">
        <v>-1.7986037E-2</v>
      </c>
      <c r="AB37">
        <v>0.11178464</v>
      </c>
      <c r="AC37">
        <v>0.17654296999999999</v>
      </c>
      <c r="AD37">
        <v>0.14683362999999999</v>
      </c>
      <c r="AE37">
        <v>0.13555723</v>
      </c>
    </row>
    <row r="38" spans="1:31" x14ac:dyDescent="0.4">
      <c r="A38" t="s">
        <v>105</v>
      </c>
      <c r="B38">
        <v>100</v>
      </c>
      <c r="C38">
        <v>20</v>
      </c>
      <c r="D38">
        <v>0.65</v>
      </c>
      <c r="E38">
        <v>1.98143</v>
      </c>
      <c r="F38">
        <v>-5.1615000000000002</v>
      </c>
      <c r="K38">
        <v>0.49922539999999999</v>
      </c>
      <c r="L38">
        <v>14.433624999999999</v>
      </c>
      <c r="Q38">
        <v>1.9424223279194499</v>
      </c>
      <c r="V38">
        <v>5.6887306231882699E-2</v>
      </c>
      <c r="W38">
        <v>4.5959748746103903</v>
      </c>
      <c r="X38">
        <v>-6.6193998000000004E-2</v>
      </c>
      <c r="Y38">
        <v>-0.24764468000000001</v>
      </c>
      <c r="Z38">
        <v>-2.1249542E-2</v>
      </c>
      <c r="AA38">
        <v>-0.23406448999999999</v>
      </c>
      <c r="AB38">
        <v>0.11093254</v>
      </c>
      <c r="AC38">
        <v>0.11675379</v>
      </c>
      <c r="AD38">
        <v>8.5589916000000002E-2</v>
      </c>
      <c r="AE38">
        <v>9.3457869999999998E-2</v>
      </c>
    </row>
    <row r="39" spans="1:31" x14ac:dyDescent="0.4">
      <c r="A39" t="s">
        <v>106</v>
      </c>
      <c r="X39">
        <v>0.55258255999999994</v>
      </c>
      <c r="Y39">
        <v>8.8657982999999996E-2</v>
      </c>
      <c r="Z39">
        <v>-0.16611992</v>
      </c>
      <c r="AA39">
        <v>0.26712789999999997</v>
      </c>
      <c r="AB39">
        <v>0.11712551</v>
      </c>
      <c r="AC39">
        <v>0.10009015</v>
      </c>
      <c r="AD39">
        <v>7.2286867000000005E-2</v>
      </c>
      <c r="AE39">
        <v>7.3547125000000005E-2</v>
      </c>
    </row>
    <row r="40" spans="1:31" x14ac:dyDescent="0.4">
      <c r="A40" t="s">
        <v>107</v>
      </c>
      <c r="B40">
        <v>30</v>
      </c>
      <c r="E40">
        <v>0.31</v>
      </c>
      <c r="J40">
        <v>0.33444819999999997</v>
      </c>
      <c r="X40">
        <v>-4.6792790000000001E-2</v>
      </c>
      <c r="Y40">
        <v>-4.6800899999999999E-2</v>
      </c>
      <c r="Z40">
        <v>3.3410519E-2</v>
      </c>
      <c r="AA40">
        <v>-0.22530744999999999</v>
      </c>
      <c r="AB40">
        <v>5.5548962E-2</v>
      </c>
      <c r="AC40">
        <v>3.6606080999999999E-2</v>
      </c>
      <c r="AD40">
        <v>4.8666979999999999E-2</v>
      </c>
      <c r="AE40">
        <v>3.7776627E-2</v>
      </c>
    </row>
    <row r="41" spans="1:31" x14ac:dyDescent="0.4">
      <c r="A41" t="s">
        <v>108</v>
      </c>
      <c r="B41">
        <v>33.75</v>
      </c>
      <c r="C41">
        <v>18.5</v>
      </c>
      <c r="D41">
        <v>1.2011591749999999</v>
      </c>
      <c r="E41">
        <v>4.7453525000000001</v>
      </c>
      <c r="F41">
        <v>-4.4513332500000002</v>
      </c>
      <c r="G41">
        <v>-0.375</v>
      </c>
      <c r="H41">
        <v>-1.41</v>
      </c>
      <c r="I41">
        <v>-2.2349999999999999</v>
      </c>
      <c r="J41">
        <v>3.2907540000000002</v>
      </c>
      <c r="K41">
        <v>0.49431565</v>
      </c>
      <c r="L41">
        <v>19.008666666666699</v>
      </c>
      <c r="M41">
        <v>7.5</v>
      </c>
      <c r="N41">
        <v>15.0249792013167</v>
      </c>
      <c r="O41">
        <v>0.81119646790243705</v>
      </c>
      <c r="P41">
        <v>1.06822974987242</v>
      </c>
      <c r="Q41">
        <v>1.4571142060784299</v>
      </c>
      <c r="T41">
        <v>9.1923881554251102E-2</v>
      </c>
      <c r="V41">
        <v>6.16001485803674E-2</v>
      </c>
      <c r="W41">
        <v>7.8869185000374697</v>
      </c>
      <c r="X41">
        <v>-0.14204733</v>
      </c>
      <c r="Y41">
        <v>5.6425984999999998E-2</v>
      </c>
      <c r="Z41">
        <v>-1.1176373E-2</v>
      </c>
      <c r="AA41">
        <v>0.33556974000000001</v>
      </c>
      <c r="AB41">
        <v>0.19720552999999999</v>
      </c>
      <c r="AC41">
        <v>0.1807262</v>
      </c>
      <c r="AD41">
        <v>0.15771114999999999</v>
      </c>
      <c r="AE41">
        <v>0.19479079999999999</v>
      </c>
    </row>
    <row r="42" spans="1:31" x14ac:dyDescent="0.4">
      <c r="A42" t="s">
        <v>109</v>
      </c>
      <c r="B42">
        <v>50</v>
      </c>
      <c r="D42">
        <v>1.4</v>
      </c>
      <c r="E42">
        <v>3.6723400000000002</v>
      </c>
      <c r="F42">
        <v>-2.8780000000000001</v>
      </c>
      <c r="K42">
        <v>0.38900000000000001</v>
      </c>
      <c r="L42">
        <v>19.302800000000001</v>
      </c>
      <c r="X42">
        <v>2.1364398E-2</v>
      </c>
      <c r="Y42">
        <v>-0.23899203999999999</v>
      </c>
      <c r="Z42">
        <v>-0.15130036999999999</v>
      </c>
      <c r="AA42">
        <v>0.20682312999999999</v>
      </c>
      <c r="AB42">
        <v>0.18610873999999999</v>
      </c>
      <c r="AC42">
        <v>0.19083924999999999</v>
      </c>
      <c r="AD42">
        <v>0.21177304999999999</v>
      </c>
      <c r="AE42">
        <v>0.19830286999999999</v>
      </c>
    </row>
    <row r="43" spans="1:31" x14ac:dyDescent="0.4">
      <c r="A43" t="s">
        <v>110</v>
      </c>
      <c r="B43">
        <v>20</v>
      </c>
      <c r="C43">
        <v>2.25</v>
      </c>
      <c r="D43">
        <v>1.6908131</v>
      </c>
      <c r="E43">
        <v>2.6619999999999999</v>
      </c>
      <c r="F43">
        <v>-2.0341665</v>
      </c>
      <c r="J43">
        <v>0.115775</v>
      </c>
      <c r="K43">
        <v>0.44678580000000001</v>
      </c>
      <c r="L43">
        <v>27.449294999999999</v>
      </c>
      <c r="N43">
        <v>1.0606601717798201</v>
      </c>
      <c r="O43">
        <v>2.1510384859379901</v>
      </c>
      <c r="Q43">
        <v>5.3975581928312699E-2</v>
      </c>
      <c r="W43">
        <v>9.8277872379315401</v>
      </c>
      <c r="X43">
        <v>0.40502669484440401</v>
      </c>
      <c r="Y43">
        <v>0.86844367</v>
      </c>
      <c r="Z43">
        <v>0.25253311000000001</v>
      </c>
      <c r="AA43">
        <v>-0.28624395000000002</v>
      </c>
      <c r="AB43">
        <v>0.10189892</v>
      </c>
      <c r="AC43" s="5">
        <v>4.8861999999999999E-7</v>
      </c>
      <c r="AD43" s="5">
        <v>2.7154512999999998E-7</v>
      </c>
      <c r="AE43" s="5">
        <v>2.4150304999999998E-7</v>
      </c>
    </row>
    <row r="44" spans="1:31" x14ac:dyDescent="0.4">
      <c r="A44" t="s">
        <v>58</v>
      </c>
      <c r="B44">
        <v>25</v>
      </c>
      <c r="C44">
        <v>17.5</v>
      </c>
      <c r="D44">
        <v>2.34</v>
      </c>
      <c r="E44">
        <v>2.85</v>
      </c>
      <c r="F44">
        <v>-3.016</v>
      </c>
      <c r="G44">
        <v>-0.1105</v>
      </c>
      <c r="H44">
        <v>-1.0716666666666701</v>
      </c>
      <c r="I44">
        <v>-1.52</v>
      </c>
      <c r="J44">
        <v>0.65600000000000003</v>
      </c>
      <c r="K44">
        <v>0.65181199999999995</v>
      </c>
      <c r="L44">
        <v>26.333815000000001</v>
      </c>
      <c r="M44">
        <v>4.8989794855663602</v>
      </c>
      <c r="N44">
        <v>3.53553390593274</v>
      </c>
      <c r="O44">
        <v>2.99704854815533</v>
      </c>
      <c r="P44">
        <v>2.3334523779156102</v>
      </c>
      <c r="Q44">
        <v>0.71149841883169396</v>
      </c>
      <c r="R44">
        <v>1.4849242404917499E-2</v>
      </c>
      <c r="S44">
        <v>0.27947868135751103</v>
      </c>
      <c r="T44">
        <v>9.8994949366116705E-2</v>
      </c>
      <c r="U44">
        <v>0.240416305603426</v>
      </c>
      <c r="V44">
        <v>0.19542734375721299</v>
      </c>
      <c r="W44">
        <v>2.59340604388322</v>
      </c>
      <c r="X44">
        <v>-0.19740843999999999</v>
      </c>
      <c r="Y44">
        <v>6.4236835000000006E-2</v>
      </c>
      <c r="Z44">
        <v>0.33447057000000002</v>
      </c>
      <c r="AA44">
        <v>-7.9386449999999997E-2</v>
      </c>
      <c r="AB44">
        <v>0.10189892</v>
      </c>
      <c r="AC44">
        <v>0.13946500000000001</v>
      </c>
      <c r="AD44">
        <v>0.16603224</v>
      </c>
      <c r="AE44">
        <v>0.19051072999999999</v>
      </c>
    </row>
    <row r="45" spans="1:31" x14ac:dyDescent="0.4">
      <c r="A45" t="s">
        <v>59</v>
      </c>
      <c r="B45">
        <v>35</v>
      </c>
      <c r="C45">
        <v>1.2</v>
      </c>
      <c r="D45">
        <v>4.0250000000000004</v>
      </c>
      <c r="E45">
        <v>5.2649999999999997</v>
      </c>
      <c r="F45">
        <v>-2.3612082499999998</v>
      </c>
      <c r="J45">
        <v>0.73650000000000004</v>
      </c>
      <c r="K45">
        <v>0.72299999999999998</v>
      </c>
      <c r="L45">
        <v>44.283333333333303</v>
      </c>
      <c r="O45">
        <v>2.01525432638166</v>
      </c>
      <c r="Q45">
        <v>1.29806942693329</v>
      </c>
      <c r="V45">
        <v>0.45537676708413699</v>
      </c>
      <c r="W45">
        <v>23.138406024040101</v>
      </c>
      <c r="X45">
        <v>-0.23251429000000001</v>
      </c>
      <c r="Y45">
        <v>-0.25789261000000002</v>
      </c>
      <c r="Z45">
        <v>0.53212725999999999</v>
      </c>
      <c r="AA45">
        <v>0.29995274999999999</v>
      </c>
      <c r="AB45">
        <v>0.10189892</v>
      </c>
      <c r="AC45">
        <v>0.25126346999999999</v>
      </c>
      <c r="AD45">
        <v>0.17180419999999999</v>
      </c>
      <c r="AE45">
        <v>0.25123087</v>
      </c>
    </row>
    <row r="46" spans="1:31" x14ac:dyDescent="0.4">
      <c r="A46" t="s">
        <v>60</v>
      </c>
      <c r="B46">
        <v>35</v>
      </c>
      <c r="F46">
        <v>-5.08</v>
      </c>
      <c r="X46">
        <v>-0.21054684000000001</v>
      </c>
      <c r="Y46">
        <v>-0.28903377000000002</v>
      </c>
      <c r="Z46">
        <v>0.22736591</v>
      </c>
      <c r="AA46">
        <v>6.3246443999999999E-2</v>
      </c>
      <c r="AB46">
        <v>0.10189892</v>
      </c>
      <c r="AC46">
        <v>0.10211821</v>
      </c>
      <c r="AD46">
        <v>0.13690178</v>
      </c>
      <c r="AE46">
        <v>0.14682434</v>
      </c>
    </row>
    <row r="47" spans="1:31" x14ac:dyDescent="0.4">
      <c r="B47" t="s">
        <v>67</v>
      </c>
      <c r="C47" t="s">
        <v>68</v>
      </c>
      <c r="D47" t="s">
        <v>0</v>
      </c>
      <c r="E47" t="s">
        <v>1</v>
      </c>
      <c r="F47" t="s">
        <v>47</v>
      </c>
      <c r="G47" t="s">
        <v>48</v>
      </c>
      <c r="H47" t="s">
        <v>49</v>
      </c>
      <c r="I47" t="s">
        <v>50</v>
      </c>
      <c r="J47" t="s">
        <v>51</v>
      </c>
      <c r="K47" t="s">
        <v>52</v>
      </c>
      <c r="L47" t="s">
        <v>53</v>
      </c>
    </row>
    <row r="48" spans="1:31" x14ac:dyDescent="0.4">
      <c r="B48">
        <f>CORREL(B2:B46,$X2:$X46)</f>
        <v>0.11376204439849749</v>
      </c>
      <c r="C48">
        <f t="shared" ref="C48:L48" si="0">CORREL(C2:C46,$X2:$X46)</f>
        <v>1.7014325284353864E-2</v>
      </c>
      <c r="D48">
        <f t="shared" si="0"/>
        <v>-0.42288770390935981</v>
      </c>
      <c r="E48">
        <f t="shared" si="0"/>
        <v>-0.57084624931885319</v>
      </c>
      <c r="F48">
        <f t="shared" si="0"/>
        <v>3.377545901694344E-2</v>
      </c>
      <c r="G48">
        <f t="shared" si="0"/>
        <v>-0.27439492209525129</v>
      </c>
      <c r="H48">
        <f t="shared" si="0"/>
        <v>0.1978430988649145</v>
      </c>
      <c r="I48">
        <f t="shared" si="0"/>
        <v>-0.11438027326430805</v>
      </c>
      <c r="J48">
        <f t="shared" si="0"/>
        <v>-0.30902678445129733</v>
      </c>
      <c r="K48">
        <f t="shared" si="0"/>
        <v>-0.30298544090268892</v>
      </c>
      <c r="L48">
        <f t="shared" si="0"/>
        <v>-0.18329889179082431</v>
      </c>
    </row>
    <row r="49" spans="2:12" x14ac:dyDescent="0.4">
      <c r="B49">
        <f>CORREL(B2:B46,$Y2:$Y46)</f>
        <v>-0.25012984349148376</v>
      </c>
      <c r="C49">
        <f t="shared" ref="C49:L49" si="1">CORREL(C2:C46,$Y2:$Y46)</f>
        <v>-9.9638699299849642E-2</v>
      </c>
      <c r="D49">
        <f t="shared" si="1"/>
        <v>-0.25439740063131849</v>
      </c>
      <c r="E49">
        <f t="shared" si="1"/>
        <v>-0.40847925230174037</v>
      </c>
      <c r="F49">
        <f t="shared" si="1"/>
        <v>-0.12840459880482927</v>
      </c>
      <c r="G49">
        <f t="shared" si="1"/>
        <v>2.4195037096017041E-2</v>
      </c>
      <c r="H49">
        <f t="shared" si="1"/>
        <v>0.18826418672402512</v>
      </c>
      <c r="I49">
        <f t="shared" si="1"/>
        <v>0.3148623636680164</v>
      </c>
      <c r="J49">
        <f t="shared" si="1"/>
        <v>-0.14498047848539677</v>
      </c>
      <c r="K49">
        <f t="shared" si="1"/>
        <v>-7.8260551599588016E-2</v>
      </c>
      <c r="L49">
        <f t="shared" si="1"/>
        <v>-0.22537567566723382</v>
      </c>
    </row>
    <row r="50" spans="2:12" x14ac:dyDescent="0.4">
      <c r="B50">
        <f>CORREL(B2:B46,$Z2:$Z46)</f>
        <v>-0.26256718374411964</v>
      </c>
      <c r="C50">
        <f t="shared" ref="C50:L50" si="2">CORREL(C2:C46,$Z2:$Z46)</f>
        <v>-2.5687979439095159E-2</v>
      </c>
      <c r="D50">
        <f t="shared" si="2"/>
        <v>0.51647019743609779</v>
      </c>
      <c r="E50">
        <f t="shared" si="2"/>
        <v>0.57167026216422068</v>
      </c>
      <c r="F50">
        <f t="shared" si="2"/>
        <v>0.36896382764913577</v>
      </c>
      <c r="G50">
        <f t="shared" si="2"/>
        <v>0.17406368790389085</v>
      </c>
      <c r="H50">
        <f t="shared" si="2"/>
        <v>0.10006316289761853</v>
      </c>
      <c r="I50">
        <f t="shared" si="2"/>
        <v>0.1114106714394488</v>
      </c>
      <c r="J50">
        <f t="shared" si="2"/>
        <v>0.12233791415042697</v>
      </c>
      <c r="K50">
        <f t="shared" si="2"/>
        <v>0.23873683045248409</v>
      </c>
      <c r="L50">
        <f t="shared" si="2"/>
        <v>0.36390191667286576</v>
      </c>
    </row>
    <row r="52" spans="2:12" x14ac:dyDescent="0.4">
      <c r="B52">
        <f>B48^2</f>
        <v>1.2941802745725714E-2</v>
      </c>
      <c r="C52">
        <f t="shared" ref="C52:L52" si="3">C48^2</f>
        <v>2.8948726488180318E-4</v>
      </c>
      <c r="D52">
        <f t="shared" si="3"/>
        <v>0.17883401011773037</v>
      </c>
      <c r="E52">
        <f t="shared" si="3"/>
        <v>0.3258654403614023</v>
      </c>
      <c r="F52">
        <f t="shared" si="3"/>
        <v>1.140781631805226E-3</v>
      </c>
      <c r="G52">
        <f t="shared" si="3"/>
        <v>7.529257327165903E-2</v>
      </c>
      <c r="H52">
        <f t="shared" si="3"/>
        <v>3.9141891768472332E-2</v>
      </c>
      <c r="I52">
        <f t="shared" si="3"/>
        <v>1.3082846912017783E-2</v>
      </c>
      <c r="J52">
        <f t="shared" si="3"/>
        <v>9.5497553508308589E-2</v>
      </c>
      <c r="K52">
        <f t="shared" si="3"/>
        <v>9.1800177398996805E-2</v>
      </c>
      <c r="L52">
        <f t="shared" si="3"/>
        <v>3.3598483731744323E-2</v>
      </c>
    </row>
    <row r="53" spans="2:12" x14ac:dyDescent="0.4">
      <c r="B53">
        <f t="shared" ref="B53:L54" si="4">B49^2</f>
        <v>6.2564938605074158E-2</v>
      </c>
      <c r="C53">
        <f t="shared" si="4"/>
        <v>9.927870398165858E-3</v>
      </c>
      <c r="D53">
        <f t="shared" si="4"/>
        <v>6.4718037447971569E-2</v>
      </c>
      <c r="E53">
        <f t="shared" si="4"/>
        <v>0.16685529956098888</v>
      </c>
      <c r="F53">
        <f t="shared" si="4"/>
        <v>1.6487740994229162E-2</v>
      </c>
      <c r="G53">
        <f t="shared" si="4"/>
        <v>5.8539982007764068E-4</v>
      </c>
      <c r="H53">
        <f t="shared" si="4"/>
        <v>3.5443404002858593E-2</v>
      </c>
      <c r="I53">
        <f t="shared" si="4"/>
        <v>9.9138308054610214E-2</v>
      </c>
      <c r="J53">
        <f t="shared" si="4"/>
        <v>2.1019339141854596E-2</v>
      </c>
      <c r="K53">
        <f t="shared" si="4"/>
        <v>6.1247139366717787E-3</v>
      </c>
      <c r="L53">
        <f t="shared" si="4"/>
        <v>5.0794195182462171E-2</v>
      </c>
    </row>
    <row r="54" spans="2:12" x14ac:dyDescent="0.4">
      <c r="B54">
        <f t="shared" si="4"/>
        <v>6.8941525979318283E-2</v>
      </c>
      <c r="C54">
        <f t="shared" si="4"/>
        <v>6.5987228766337569E-4</v>
      </c>
      <c r="D54">
        <f t="shared" si="4"/>
        <v>0.26674146483968181</v>
      </c>
      <c r="E54">
        <f t="shared" si="4"/>
        <v>0.3268068886429088</v>
      </c>
      <c r="F54">
        <f t="shared" si="4"/>
        <v>0.13613430611350116</v>
      </c>
      <c r="G54">
        <f t="shared" si="4"/>
        <v>3.0298167446703116E-2</v>
      </c>
      <c r="H54">
        <f t="shared" si="4"/>
        <v>1.0012636569075343E-2</v>
      </c>
      <c r="I54">
        <f t="shared" si="4"/>
        <v>1.2412337710588812E-2</v>
      </c>
      <c r="J54">
        <f t="shared" si="4"/>
        <v>1.4966565238677239E-2</v>
      </c>
      <c r="K54">
        <f t="shared" si="4"/>
        <v>5.6995274214498133E-2</v>
      </c>
      <c r="L54">
        <f t="shared" si="4"/>
        <v>0.13242460495818534</v>
      </c>
    </row>
  </sheetData>
  <phoneticPr fontId="1" type="noConversion"/>
  <conditionalFormatting sqref="B48:L50">
    <cfRule type="cellIs" dxfId="2" priority="1" operator="greaterThan">
      <formula>0.25</formula>
    </cfRule>
  </conditionalFormatting>
  <conditionalFormatting sqref="Y49:Y58">
    <cfRule type="cellIs" dxfId="1" priority="2" operator="lessThan">
      <formula>-0.4</formula>
    </cfRule>
    <cfRule type="cellIs" dxfId="0" priority="3" operator="greaterThan">
      <formula>0.4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1C5A-BF75-4B02-A035-3FECE6A30775}">
  <dimension ref="A1:Z46"/>
  <sheetViews>
    <sheetView topLeftCell="A19" workbookViewId="0">
      <selection activeCell="G36" sqref="G35:G36"/>
    </sheetView>
  </sheetViews>
  <sheetFormatPr defaultRowHeight="13.9" x14ac:dyDescent="0.4"/>
  <sheetData>
    <row r="1" spans="1:26" x14ac:dyDescent="0.4">
      <c r="A1" t="s">
        <v>66</v>
      </c>
      <c r="B1" t="s">
        <v>67</v>
      </c>
      <c r="C1" t="s">
        <v>68</v>
      </c>
      <c r="D1" t="s">
        <v>0</v>
      </c>
      <c r="E1" t="s">
        <v>1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  <c r="S1" t="s">
        <v>117</v>
      </c>
      <c r="T1" t="s">
        <v>118</v>
      </c>
      <c r="U1" t="s">
        <v>119</v>
      </c>
      <c r="V1" t="s">
        <v>120</v>
      </c>
      <c r="W1" t="s">
        <v>121</v>
      </c>
      <c r="X1" t="s">
        <v>2</v>
      </c>
      <c r="Y1" t="s">
        <v>3</v>
      </c>
      <c r="Z1" t="s">
        <v>4</v>
      </c>
    </row>
    <row r="2" spans="1:26" x14ac:dyDescent="0.4">
      <c r="A2" t="s">
        <v>77</v>
      </c>
      <c r="B2">
        <v>52.5</v>
      </c>
      <c r="C2">
        <v>25</v>
      </c>
      <c r="D2">
        <v>1.2995049999999999</v>
      </c>
      <c r="F2">
        <v>-3.85025</v>
      </c>
      <c r="H2">
        <v>-4</v>
      </c>
      <c r="J2">
        <v>1.7</v>
      </c>
      <c r="K2">
        <v>0.47990545000000001</v>
      </c>
      <c r="L2">
        <v>17.18093</v>
      </c>
      <c r="M2">
        <v>5</v>
      </c>
      <c r="N2">
        <v>4.0824829046386304</v>
      </c>
      <c r="Q2">
        <v>0.27598354419542298</v>
      </c>
      <c r="V2">
        <v>3.0799520778820599E-2</v>
      </c>
      <c r="W2">
        <v>3.8585008584811802</v>
      </c>
      <c r="X2" s="2">
        <v>-0.19160712999999999</v>
      </c>
      <c r="Y2" s="2">
        <v>-6.7440300999999994E-2</v>
      </c>
      <c r="Z2" s="2">
        <v>0.12401377</v>
      </c>
    </row>
    <row r="3" spans="1:26" x14ac:dyDescent="0.4">
      <c r="A3" t="s">
        <v>110</v>
      </c>
      <c r="B3">
        <v>20</v>
      </c>
      <c r="C3">
        <v>2.25</v>
      </c>
      <c r="D3">
        <v>1.6908131</v>
      </c>
      <c r="E3">
        <v>2.6619999999999999</v>
      </c>
      <c r="F3">
        <v>-2.0341665</v>
      </c>
      <c r="J3">
        <v>0.115775</v>
      </c>
      <c r="K3">
        <v>0.44678580000000001</v>
      </c>
      <c r="L3">
        <v>27.449294999999999</v>
      </c>
      <c r="N3">
        <v>1.0606601717798201</v>
      </c>
      <c r="O3">
        <v>2.1510384859379901</v>
      </c>
      <c r="Q3">
        <v>5.3975581928312699E-2</v>
      </c>
      <c r="W3">
        <v>9.8277872379315401</v>
      </c>
      <c r="X3">
        <v>0.40502669484440401</v>
      </c>
      <c r="Y3">
        <v>0.86844367</v>
      </c>
      <c r="Z3">
        <v>0.25253311000000001</v>
      </c>
    </row>
    <row r="4" spans="1:26" x14ac:dyDescent="0.4">
      <c r="A4" t="s">
        <v>84</v>
      </c>
      <c r="B4">
        <v>50</v>
      </c>
      <c r="C4">
        <v>20</v>
      </c>
      <c r="D4">
        <v>0.33815133333333303</v>
      </c>
      <c r="E4">
        <v>0.628</v>
      </c>
      <c r="F4">
        <v>-3.3839999999999999</v>
      </c>
      <c r="H4">
        <v>-1.5</v>
      </c>
      <c r="J4">
        <v>0.35452565000000003</v>
      </c>
      <c r="K4">
        <v>0.48151094999999999</v>
      </c>
      <c r="L4">
        <v>13.937010000000001</v>
      </c>
      <c r="O4">
        <v>0.21335288304903099</v>
      </c>
      <c r="P4">
        <v>0.11313708498984799</v>
      </c>
      <c r="Q4">
        <v>0.27555707212844299</v>
      </c>
      <c r="U4">
        <v>0.19866073093554501</v>
      </c>
      <c r="V4">
        <v>1.2036300918679301E-2</v>
      </c>
      <c r="W4">
        <v>0.80661084743511802</v>
      </c>
      <c r="X4">
        <v>0.23400557</v>
      </c>
      <c r="Y4">
        <v>0.27436688999999997</v>
      </c>
      <c r="Z4">
        <v>-8.3442963999999994E-2</v>
      </c>
    </row>
    <row r="5" spans="1:26" x14ac:dyDescent="0.4">
      <c r="A5" t="s">
        <v>92</v>
      </c>
      <c r="X5">
        <v>6.4746982999999994E-2</v>
      </c>
      <c r="Y5">
        <v>5.909114E-2</v>
      </c>
      <c r="Z5">
        <v>-0.20457697</v>
      </c>
    </row>
    <row r="6" spans="1:26" x14ac:dyDescent="0.4">
      <c r="A6" t="s">
        <v>58</v>
      </c>
      <c r="B6">
        <v>25</v>
      </c>
      <c r="C6">
        <v>17.5</v>
      </c>
      <c r="D6">
        <v>2.34</v>
      </c>
      <c r="E6">
        <v>2.85</v>
      </c>
      <c r="F6">
        <v>-3.016</v>
      </c>
      <c r="G6">
        <v>-0.1105</v>
      </c>
      <c r="H6">
        <v>-1.0716666666666701</v>
      </c>
      <c r="I6">
        <v>-1.52</v>
      </c>
      <c r="J6">
        <v>0.65600000000000003</v>
      </c>
      <c r="K6">
        <v>0.65181199999999995</v>
      </c>
      <c r="L6">
        <v>26.333815000000001</v>
      </c>
      <c r="M6">
        <v>4.8989794855663602</v>
      </c>
      <c r="N6">
        <v>3.53553390593274</v>
      </c>
      <c r="O6">
        <v>2.99704854815533</v>
      </c>
      <c r="P6">
        <v>2.3334523779156102</v>
      </c>
      <c r="Q6">
        <v>0.71149841883169396</v>
      </c>
      <c r="R6">
        <v>1.4849242404917499E-2</v>
      </c>
      <c r="S6">
        <v>0.27947868135751103</v>
      </c>
      <c r="T6">
        <v>9.8994949366116705E-2</v>
      </c>
      <c r="U6">
        <v>0.240416305603426</v>
      </c>
      <c r="V6">
        <v>0.19542734375721299</v>
      </c>
      <c r="W6">
        <v>2.59340604388322</v>
      </c>
      <c r="X6">
        <v>-0.19740843999999999</v>
      </c>
      <c r="Y6">
        <v>6.4236835000000006E-2</v>
      </c>
      <c r="Z6">
        <v>0.33447057000000002</v>
      </c>
    </row>
    <row r="7" spans="1:26" x14ac:dyDescent="0.4">
      <c r="A7" t="s">
        <v>59</v>
      </c>
      <c r="B7">
        <v>35</v>
      </c>
      <c r="C7">
        <v>1.2</v>
      </c>
      <c r="D7">
        <v>4.0250000000000004</v>
      </c>
      <c r="E7">
        <v>5.2649999999999997</v>
      </c>
      <c r="F7">
        <v>-2.3612082499999998</v>
      </c>
      <c r="J7">
        <v>0.73650000000000004</v>
      </c>
      <c r="K7">
        <v>0.72299999999999998</v>
      </c>
      <c r="L7">
        <v>44.283333333333303</v>
      </c>
      <c r="O7">
        <v>2.01525432638166</v>
      </c>
      <c r="Q7">
        <v>1.29806942693329</v>
      </c>
      <c r="V7">
        <v>0.45537676708413699</v>
      </c>
      <c r="W7">
        <v>23.138406024040101</v>
      </c>
      <c r="X7">
        <v>-0.23251429000000001</v>
      </c>
      <c r="Y7">
        <v>-0.25789261000000002</v>
      </c>
      <c r="Z7">
        <v>0.53212725999999999</v>
      </c>
    </row>
    <row r="8" spans="1:26" x14ac:dyDescent="0.4">
      <c r="A8" t="s">
        <v>94</v>
      </c>
      <c r="X8">
        <v>-0.29515018999999998</v>
      </c>
      <c r="Y8">
        <v>0.22359340999999999</v>
      </c>
      <c r="Z8">
        <v>-4.3848444E-2</v>
      </c>
    </row>
    <row r="9" spans="1:26" x14ac:dyDescent="0.4">
      <c r="A9" t="s">
        <v>89</v>
      </c>
      <c r="B9">
        <v>24</v>
      </c>
      <c r="E9">
        <v>1.59826</v>
      </c>
      <c r="F9">
        <v>-4.0842499999999999</v>
      </c>
      <c r="G9">
        <v>-0.47499999999999998</v>
      </c>
      <c r="H9">
        <v>-1.21</v>
      </c>
      <c r="K9">
        <v>0.57999999999999996</v>
      </c>
      <c r="L9">
        <v>13.876340000000001</v>
      </c>
      <c r="O9">
        <v>3.0411223257212101</v>
      </c>
      <c r="Q9">
        <v>3.9088070110968598</v>
      </c>
      <c r="X9">
        <v>0.28533586999999999</v>
      </c>
      <c r="Y9">
        <v>0.38783127000000001</v>
      </c>
      <c r="Z9">
        <v>3.5423622000000002E-2</v>
      </c>
    </row>
    <row r="10" spans="1:26" x14ac:dyDescent="0.4">
      <c r="A10" t="s">
        <v>60</v>
      </c>
      <c r="B10">
        <v>35</v>
      </c>
      <c r="F10">
        <v>-5.08</v>
      </c>
      <c r="X10">
        <v>-0.21054684000000001</v>
      </c>
      <c r="Y10">
        <v>-0.28903377000000002</v>
      </c>
      <c r="Z10">
        <v>0.22736591</v>
      </c>
    </row>
    <row r="11" spans="1:26" x14ac:dyDescent="0.4">
      <c r="A11" t="s">
        <v>78</v>
      </c>
      <c r="B11">
        <v>50</v>
      </c>
      <c r="C11">
        <v>22.5</v>
      </c>
      <c r="D11">
        <v>1.83</v>
      </c>
      <c r="E11">
        <v>7.2</v>
      </c>
      <c r="F11">
        <v>-3.0833333333333299</v>
      </c>
      <c r="H11">
        <v>-2.2133333333333298</v>
      </c>
      <c r="I11">
        <v>-2.17</v>
      </c>
      <c r="K11">
        <v>0.42167090000000002</v>
      </c>
      <c r="L11">
        <v>23.4</v>
      </c>
      <c r="N11">
        <v>3.53553390593274</v>
      </c>
      <c r="Q11">
        <v>0.160727512683216</v>
      </c>
      <c r="S11">
        <v>0.27135462651912401</v>
      </c>
      <c r="X11" s="2">
        <v>-0.66910749999999997</v>
      </c>
      <c r="Y11" s="2">
        <v>-0.56384838000000004</v>
      </c>
      <c r="Z11" s="2">
        <v>0.78117537000000004</v>
      </c>
    </row>
    <row r="12" spans="1:26" x14ac:dyDescent="0.4">
      <c r="A12" t="s">
        <v>93</v>
      </c>
      <c r="B12">
        <v>26</v>
      </c>
      <c r="D12">
        <v>0.28000000000000003</v>
      </c>
      <c r="F12">
        <v>-9</v>
      </c>
      <c r="H12">
        <v>-3.5</v>
      </c>
      <c r="K12">
        <v>0.60099999999999998</v>
      </c>
      <c r="L12">
        <v>8.1085799999999999</v>
      </c>
      <c r="X12" s="2">
        <v>-0.19586946</v>
      </c>
      <c r="Y12" s="2">
        <v>0.13189962999999999</v>
      </c>
      <c r="Z12" s="2">
        <v>-0.36827694999999999</v>
      </c>
    </row>
    <row r="13" spans="1:26" x14ac:dyDescent="0.4">
      <c r="A13" t="s">
        <v>106</v>
      </c>
      <c r="X13">
        <v>0.55258255999999994</v>
      </c>
      <c r="Y13">
        <v>8.8657982999999996E-2</v>
      </c>
      <c r="Z13">
        <v>-0.16611992</v>
      </c>
    </row>
    <row r="14" spans="1:26" x14ac:dyDescent="0.4">
      <c r="A14" t="s">
        <v>79</v>
      </c>
      <c r="B14">
        <v>55</v>
      </c>
      <c r="C14">
        <v>13.3333333333333</v>
      </c>
      <c r="D14">
        <v>0.434</v>
      </c>
      <c r="F14">
        <v>-3.7111666666666698</v>
      </c>
      <c r="H14">
        <v>-2.7349999999999999</v>
      </c>
      <c r="I14">
        <v>-2.67</v>
      </c>
      <c r="K14">
        <v>0.53759043333333301</v>
      </c>
      <c r="L14">
        <v>15.112296666666699</v>
      </c>
      <c r="N14">
        <v>7.6376261582597298</v>
      </c>
      <c r="O14">
        <v>0.14142135623731</v>
      </c>
      <c r="Q14">
        <v>0.34956985472625202</v>
      </c>
      <c r="S14">
        <v>0.72831998462214398</v>
      </c>
      <c r="V14">
        <v>7.4524779332536997E-2</v>
      </c>
      <c r="W14">
        <v>1.3026318451632199</v>
      </c>
      <c r="X14" s="2">
        <v>-0.31611127</v>
      </c>
      <c r="Y14" s="2">
        <v>-0.36496456999999999</v>
      </c>
      <c r="Z14" s="2">
        <v>0.26111733999999998</v>
      </c>
    </row>
    <row r="15" spans="1:26" x14ac:dyDescent="0.4">
      <c r="A15" t="s">
        <v>86</v>
      </c>
      <c r="X15">
        <v>1.2879994000000001E-2</v>
      </c>
      <c r="Y15">
        <v>0.19147465</v>
      </c>
      <c r="Z15">
        <v>0.12796551</v>
      </c>
    </row>
    <row r="16" spans="1:26" x14ac:dyDescent="0.4">
      <c r="A16" t="s">
        <v>81</v>
      </c>
      <c r="X16">
        <v>-4.3573650999999998E-2</v>
      </c>
      <c r="Y16">
        <v>-7.4015230000000001E-2</v>
      </c>
      <c r="Z16">
        <v>-3.7394287000000002E-3</v>
      </c>
    </row>
    <row r="17" spans="1:26" x14ac:dyDescent="0.4">
      <c r="A17" t="s">
        <v>87</v>
      </c>
      <c r="X17">
        <v>-0.16579353999999999</v>
      </c>
      <c r="Y17">
        <v>-0.15169843999999999</v>
      </c>
      <c r="Z17">
        <v>0.24733156000000001</v>
      </c>
    </row>
    <row r="18" spans="1:26" x14ac:dyDescent="0.4">
      <c r="A18" t="s">
        <v>82</v>
      </c>
      <c r="B18">
        <v>30</v>
      </c>
      <c r="C18">
        <v>30</v>
      </c>
      <c r="D18">
        <v>1.127</v>
      </c>
      <c r="F18">
        <v>-2.8849999999999998</v>
      </c>
      <c r="G18">
        <v>-0.66200000000000003</v>
      </c>
      <c r="H18">
        <v>-1.4019999999999999</v>
      </c>
      <c r="I18">
        <v>-1.615</v>
      </c>
      <c r="J18">
        <v>0.1885</v>
      </c>
      <c r="K18">
        <v>0.53480000000000005</v>
      </c>
      <c r="O18">
        <v>0.50628845532956801</v>
      </c>
      <c r="P18">
        <v>30.3348809129029</v>
      </c>
      <c r="Q18">
        <v>0.94752308678997399</v>
      </c>
      <c r="R18">
        <v>1.55563491861041E-2</v>
      </c>
      <c r="S18">
        <v>4.2426406871192901E-3</v>
      </c>
      <c r="T18">
        <v>8.7681240867131999E-2</v>
      </c>
      <c r="U18">
        <v>1.20208152801713E-2</v>
      </c>
      <c r="V18">
        <v>4.8648946545634501E-2</v>
      </c>
      <c r="X18">
        <v>0.31773405999999998</v>
      </c>
      <c r="Y18">
        <v>0.35514839999999998</v>
      </c>
      <c r="Z18">
        <v>-4.613068E-2</v>
      </c>
    </row>
    <row r="19" spans="1:26" x14ac:dyDescent="0.4">
      <c r="A19" t="s">
        <v>97</v>
      </c>
      <c r="X19">
        <v>-1.2400042E-2</v>
      </c>
      <c r="Y19">
        <v>2.3905330999999998E-2</v>
      </c>
      <c r="Z19">
        <v>0.20166888999999999</v>
      </c>
    </row>
    <row r="20" spans="1:26" x14ac:dyDescent="0.4">
      <c r="A20" t="s">
        <v>71</v>
      </c>
      <c r="B20">
        <v>54.4444444444444</v>
      </c>
      <c r="C20">
        <v>13.5388888888889</v>
      </c>
      <c r="D20">
        <v>0.52107000000000003</v>
      </c>
      <c r="E20">
        <v>2.1495000000000002</v>
      </c>
      <c r="F20">
        <v>-3.7267142857142899</v>
      </c>
      <c r="H20">
        <v>-2.6150000000000002</v>
      </c>
      <c r="J20">
        <v>0.19750000000000001</v>
      </c>
      <c r="K20">
        <v>0.56597116666666702</v>
      </c>
      <c r="L20">
        <v>13.1583325</v>
      </c>
      <c r="M20">
        <v>1.6666666666666701</v>
      </c>
      <c r="N20">
        <v>7.4034526479954703</v>
      </c>
      <c r="O20">
        <v>9.9395202432847093E-2</v>
      </c>
      <c r="Q20">
        <v>0.14748413958311399</v>
      </c>
      <c r="S20">
        <v>0.99643650790490101</v>
      </c>
      <c r="V20">
        <v>9.6802381138499594E-2</v>
      </c>
      <c r="W20">
        <v>2.8847936128762601</v>
      </c>
      <c r="X20" s="2">
        <v>-0.29468745000000002</v>
      </c>
      <c r="Y20" s="2">
        <v>-0.31523733999999998</v>
      </c>
      <c r="Z20" s="2">
        <v>0.38320430999999999</v>
      </c>
    </row>
    <row r="21" spans="1:26" x14ac:dyDescent="0.4">
      <c r="A21" t="s">
        <v>76</v>
      </c>
      <c r="B21">
        <v>65</v>
      </c>
      <c r="C21">
        <v>15</v>
      </c>
      <c r="D21">
        <v>1.034</v>
      </c>
      <c r="F21">
        <v>-5.492</v>
      </c>
      <c r="K21">
        <v>0.54631759999999996</v>
      </c>
      <c r="L21">
        <v>12.35571</v>
      </c>
      <c r="Q21">
        <v>2.1659142796211199</v>
      </c>
      <c r="V21">
        <v>3.5782091223403902E-2</v>
      </c>
      <c r="X21" s="2">
        <v>0.46271002</v>
      </c>
      <c r="Y21" s="2">
        <v>0.44144844999999999</v>
      </c>
      <c r="Z21" s="2">
        <v>-0.63324678000000001</v>
      </c>
    </row>
    <row r="22" spans="1:26" x14ac:dyDescent="0.4">
      <c r="A22" t="s">
        <v>73</v>
      </c>
      <c r="B22">
        <v>40</v>
      </c>
      <c r="C22">
        <v>1.5</v>
      </c>
      <c r="D22">
        <v>1.96423573333333</v>
      </c>
      <c r="E22">
        <v>2.7931933333333299</v>
      </c>
      <c r="F22">
        <v>-3.60255566666667</v>
      </c>
      <c r="G22">
        <v>-0.40500000000000003</v>
      </c>
      <c r="H22">
        <v>-1.425</v>
      </c>
      <c r="J22">
        <v>0.15902374999999999</v>
      </c>
      <c r="K22">
        <v>0.46625630000000001</v>
      </c>
      <c r="L22">
        <v>22.260165000000001</v>
      </c>
      <c r="O22">
        <v>2.4359928218252702</v>
      </c>
      <c r="P22">
        <v>4.3633708474221304</v>
      </c>
      <c r="Q22">
        <v>0.78413984932302305</v>
      </c>
      <c r="U22">
        <v>3.35875721063652E-5</v>
      </c>
      <c r="V22">
        <v>1.8489852378534601E-2</v>
      </c>
      <c r="W22">
        <v>10.8854492769591</v>
      </c>
      <c r="X22">
        <v>-0.24463025999999999</v>
      </c>
      <c r="Y22">
        <v>3.0709045000000001E-2</v>
      </c>
      <c r="Z22">
        <v>8.2236378999999998E-2</v>
      </c>
    </row>
    <row r="23" spans="1:26" x14ac:dyDescent="0.4">
      <c r="A23" t="s">
        <v>108</v>
      </c>
      <c r="B23">
        <v>33.75</v>
      </c>
      <c r="C23">
        <v>18.5</v>
      </c>
      <c r="D23">
        <v>1.2011591749999999</v>
      </c>
      <c r="E23">
        <v>4.7453525000000001</v>
      </c>
      <c r="F23">
        <v>-4.4513332500000002</v>
      </c>
      <c r="G23">
        <v>-0.375</v>
      </c>
      <c r="H23">
        <v>-1.41</v>
      </c>
      <c r="I23">
        <v>-2.2349999999999999</v>
      </c>
      <c r="J23">
        <v>3.2907540000000002</v>
      </c>
      <c r="K23">
        <v>0.49431565</v>
      </c>
      <c r="L23">
        <v>19.008666666666699</v>
      </c>
      <c r="M23">
        <v>7.5</v>
      </c>
      <c r="N23">
        <v>15.0249792013167</v>
      </c>
      <c r="O23">
        <v>0.81119646790243705</v>
      </c>
      <c r="P23">
        <v>1.06822974987242</v>
      </c>
      <c r="Q23">
        <v>1.4571142060784299</v>
      </c>
      <c r="T23">
        <v>9.1923881554251102E-2</v>
      </c>
      <c r="V23">
        <v>6.16001485803674E-2</v>
      </c>
      <c r="W23">
        <v>7.8869185000374697</v>
      </c>
      <c r="X23">
        <v>-0.14204733</v>
      </c>
      <c r="Y23">
        <v>5.6425984999999998E-2</v>
      </c>
      <c r="Z23">
        <v>-1.1176373E-2</v>
      </c>
    </row>
    <row r="24" spans="1:26" x14ac:dyDescent="0.4">
      <c r="A24" t="s">
        <v>103</v>
      </c>
      <c r="B24">
        <v>46</v>
      </c>
      <c r="F24">
        <v>-2.4237500000000001</v>
      </c>
      <c r="X24" s="2">
        <v>3.5998034999999998E-2</v>
      </c>
      <c r="Y24" s="2">
        <v>-0.11032002</v>
      </c>
      <c r="Z24" s="2">
        <v>1.1985348E-2</v>
      </c>
    </row>
    <row r="25" spans="1:26" x14ac:dyDescent="0.4">
      <c r="A25" t="s">
        <v>90</v>
      </c>
      <c r="B25">
        <v>60</v>
      </c>
      <c r="C25">
        <v>15</v>
      </c>
      <c r="F25">
        <v>-3.85</v>
      </c>
      <c r="X25">
        <v>-9.1614901999999998E-2</v>
      </c>
      <c r="Y25">
        <v>2.3327344999999999E-2</v>
      </c>
      <c r="Z25">
        <v>1.5915478E-2</v>
      </c>
    </row>
    <row r="26" spans="1:26" x14ac:dyDescent="0.4">
      <c r="A26" t="s">
        <v>107</v>
      </c>
      <c r="B26">
        <v>30</v>
      </c>
      <c r="E26">
        <v>0.31</v>
      </c>
      <c r="J26">
        <v>0.33444819999999997</v>
      </c>
      <c r="X26">
        <v>-4.6792790000000001E-2</v>
      </c>
      <c r="Y26">
        <v>-4.6800899999999999E-2</v>
      </c>
      <c r="Z26">
        <v>3.3410519E-2</v>
      </c>
    </row>
    <row r="27" spans="1:26" x14ac:dyDescent="0.4">
      <c r="A27" t="s">
        <v>100</v>
      </c>
      <c r="B27">
        <v>29</v>
      </c>
      <c r="C27">
        <v>10</v>
      </c>
      <c r="D27">
        <v>0.21</v>
      </c>
      <c r="E27">
        <v>1.19</v>
      </c>
      <c r="F27">
        <v>-3.3895</v>
      </c>
      <c r="H27">
        <v>-1.5</v>
      </c>
      <c r="J27">
        <v>0.159</v>
      </c>
      <c r="K27">
        <v>0.45438630000000002</v>
      </c>
      <c r="L27">
        <v>11.354469999999999</v>
      </c>
      <c r="Q27">
        <v>0.27930717856868598</v>
      </c>
      <c r="X27">
        <v>0.51582693999999996</v>
      </c>
      <c r="Y27">
        <v>0.26512584</v>
      </c>
      <c r="Z27">
        <v>0.1586861</v>
      </c>
    </row>
    <row r="28" spans="1:26" x14ac:dyDescent="0.4">
      <c r="A28" t="s">
        <v>101</v>
      </c>
      <c r="B28">
        <v>35</v>
      </c>
      <c r="C28">
        <v>4.9444443333333297</v>
      </c>
      <c r="D28">
        <v>0.26715</v>
      </c>
      <c r="F28">
        <v>-3.2895556666666699</v>
      </c>
      <c r="H28">
        <v>-1.915</v>
      </c>
      <c r="I28">
        <v>-2.34</v>
      </c>
      <c r="K28">
        <v>0.50520609999999999</v>
      </c>
      <c r="L28">
        <v>13.02</v>
      </c>
      <c r="N28">
        <v>1.9172702721046699</v>
      </c>
      <c r="O28">
        <v>6.1164736572636401E-2</v>
      </c>
      <c r="Q28">
        <v>0.30350266604485299</v>
      </c>
      <c r="V28">
        <v>3.6581889393933698E-2</v>
      </c>
      <c r="W28">
        <v>1.25865007051205</v>
      </c>
      <c r="X28">
        <v>0.14222382</v>
      </c>
      <c r="Y28">
        <v>0.11487427</v>
      </c>
      <c r="Z28">
        <v>-0.14115688000000001</v>
      </c>
    </row>
    <row r="29" spans="1:26" x14ac:dyDescent="0.4">
      <c r="A29" t="s">
        <v>104</v>
      </c>
      <c r="B29">
        <v>48.571428571428598</v>
      </c>
      <c r="C29">
        <v>7.6749999999999998</v>
      </c>
      <c r="D29">
        <v>0.40546067499999999</v>
      </c>
      <c r="E29">
        <v>1.64970166666667</v>
      </c>
      <c r="F29">
        <v>-3.7665833333333301</v>
      </c>
      <c r="G29">
        <v>-0.74750000000000005</v>
      </c>
      <c r="H29">
        <v>-2.15</v>
      </c>
      <c r="J29">
        <v>0.14749999999999999</v>
      </c>
      <c r="K29">
        <v>0.42592333333333299</v>
      </c>
      <c r="L29">
        <v>14.973924999999999</v>
      </c>
      <c r="M29">
        <v>3.77964473009227</v>
      </c>
      <c r="N29">
        <v>6.3421210962894703</v>
      </c>
      <c r="O29">
        <v>0.18990606645924299</v>
      </c>
      <c r="P29">
        <v>1.5367886718766299</v>
      </c>
      <c r="Q29">
        <v>0.67227363600446699</v>
      </c>
      <c r="R29">
        <v>0.42779960261786099</v>
      </c>
      <c r="S29">
        <v>1.1691022196540399</v>
      </c>
      <c r="U29">
        <v>5.86898628384835E-2</v>
      </c>
      <c r="V29">
        <v>3.2446320435040601E-2</v>
      </c>
      <c r="W29">
        <v>1.38239375721974E-2</v>
      </c>
      <c r="X29">
        <v>0.25415116999999998</v>
      </c>
      <c r="Y29">
        <v>-1.7658073E-2</v>
      </c>
      <c r="Z29">
        <v>-0.47518882000000001</v>
      </c>
    </row>
    <row r="30" spans="1:26" x14ac:dyDescent="0.4">
      <c r="A30" t="s">
        <v>75</v>
      </c>
      <c r="B30">
        <v>20</v>
      </c>
      <c r="C30">
        <v>10</v>
      </c>
      <c r="F30">
        <v>-5.3038333333333298</v>
      </c>
      <c r="G30">
        <v>-2.1749999999999998</v>
      </c>
      <c r="H30">
        <v>-3.1766666666666699</v>
      </c>
      <c r="K30">
        <v>0.6032961</v>
      </c>
      <c r="L30">
        <v>11</v>
      </c>
      <c r="Q30">
        <v>1.5289617664720501</v>
      </c>
      <c r="R30">
        <v>0.65760930650348903</v>
      </c>
      <c r="S30">
        <v>1.32719001402713</v>
      </c>
      <c r="X30">
        <v>-2.1563584E-2</v>
      </c>
      <c r="Y30">
        <v>0.35797414</v>
      </c>
      <c r="Z30">
        <v>0.12715755000000001</v>
      </c>
    </row>
    <row r="31" spans="1:26" x14ac:dyDescent="0.4">
      <c r="A31" t="s">
        <v>85</v>
      </c>
      <c r="B31">
        <v>23.3333333333333</v>
      </c>
      <c r="C31">
        <v>10</v>
      </c>
      <c r="F31">
        <v>-4.1746666666666696</v>
      </c>
      <c r="K31">
        <v>0.52856219999999998</v>
      </c>
      <c r="L31">
        <v>12.21265</v>
      </c>
      <c r="M31">
        <v>2.88675134594813</v>
      </c>
      <c r="Q31">
        <v>0.80136466938175699</v>
      </c>
      <c r="X31">
        <v>-3.1514111999999997E-2</v>
      </c>
      <c r="Y31">
        <v>0.15223049</v>
      </c>
      <c r="Z31">
        <v>0.23182854</v>
      </c>
    </row>
    <row r="32" spans="1:26" x14ac:dyDescent="0.4">
      <c r="A32" t="s">
        <v>96</v>
      </c>
      <c r="X32">
        <v>7.8119777000000001E-2</v>
      </c>
      <c r="Y32">
        <v>-0.18635707000000001</v>
      </c>
      <c r="Z32">
        <v>8.4303199999999995E-2</v>
      </c>
    </row>
    <row r="33" spans="1:26" x14ac:dyDescent="0.4">
      <c r="A33" t="s">
        <v>102</v>
      </c>
      <c r="X33">
        <v>-1.0455351999999999E-2</v>
      </c>
      <c r="Y33">
        <v>-0.25857841999999998</v>
      </c>
      <c r="Z33">
        <v>-0.14018211</v>
      </c>
    </row>
    <row r="34" spans="1:26" x14ac:dyDescent="0.4">
      <c r="A34" t="s">
        <v>80</v>
      </c>
      <c r="B34">
        <v>55</v>
      </c>
      <c r="C34">
        <v>9</v>
      </c>
      <c r="D34">
        <v>0.40699999999999997</v>
      </c>
      <c r="E34">
        <v>3.24</v>
      </c>
      <c r="F34">
        <v>-3.15</v>
      </c>
      <c r="H34">
        <v>-2.4</v>
      </c>
      <c r="J34">
        <v>0.127</v>
      </c>
      <c r="N34">
        <v>1.4142135623731</v>
      </c>
      <c r="Q34">
        <v>0.49497474683058301</v>
      </c>
      <c r="X34">
        <v>-0.45168659</v>
      </c>
      <c r="Y34">
        <v>-0.11384296000000001</v>
      </c>
      <c r="Z34">
        <v>-0.25620851</v>
      </c>
    </row>
    <row r="35" spans="1:26" x14ac:dyDescent="0.4">
      <c r="A35" t="s">
        <v>70</v>
      </c>
      <c r="B35">
        <v>72</v>
      </c>
      <c r="C35">
        <v>13.025</v>
      </c>
      <c r="D35">
        <v>0.76919308333333303</v>
      </c>
      <c r="E35">
        <v>5.8668566666666697</v>
      </c>
      <c r="F35">
        <v>-2.9522272727272698</v>
      </c>
      <c r="G35">
        <v>-1.05176916666667</v>
      </c>
      <c r="H35">
        <v>-2.0225</v>
      </c>
      <c r="I35">
        <v>-2.91</v>
      </c>
      <c r="J35">
        <v>0.18172222222222201</v>
      </c>
      <c r="K35">
        <v>0.47991271666666702</v>
      </c>
      <c r="L35">
        <v>16.083140499999999</v>
      </c>
      <c r="N35">
        <v>5.3011791141216902</v>
      </c>
      <c r="O35">
        <v>1.0371452862094299</v>
      </c>
      <c r="P35">
        <v>4.7014247130453297</v>
      </c>
      <c r="Q35">
        <v>0.601395184701223</v>
      </c>
      <c r="R35">
        <v>0.43146419284126802</v>
      </c>
      <c r="S35">
        <v>4.6663690381280397E-2</v>
      </c>
      <c r="U35">
        <v>9.3600584637300505E-2</v>
      </c>
      <c r="V35">
        <v>1.08605207187163E-2</v>
      </c>
      <c r="W35">
        <v>6.6024394994276898</v>
      </c>
      <c r="X35">
        <v>0.33252335</v>
      </c>
      <c r="Y35">
        <v>-1.1430625E-2</v>
      </c>
      <c r="Z35">
        <v>5.0160505000000001E-2</v>
      </c>
    </row>
    <row r="36" spans="1:26" x14ac:dyDescent="0.4">
      <c r="A36" t="s">
        <v>72</v>
      </c>
      <c r="B36">
        <v>45</v>
      </c>
      <c r="C36">
        <v>11.744444444444399</v>
      </c>
      <c r="D36">
        <v>0.44562227999999998</v>
      </c>
      <c r="E36">
        <v>2.77428092857143</v>
      </c>
      <c r="F36">
        <v>-3.2205087894736799</v>
      </c>
      <c r="G36">
        <v>-1.4680952857142899</v>
      </c>
      <c r="H36">
        <v>-1.9850000000000001</v>
      </c>
      <c r="J36">
        <v>0.182624913333333</v>
      </c>
      <c r="K36">
        <v>0.48183292307692299</v>
      </c>
      <c r="L36">
        <v>14.4635521428571</v>
      </c>
      <c r="N36">
        <v>4.9190173842083302</v>
      </c>
      <c r="O36">
        <v>8.45716251878776E-2</v>
      </c>
      <c r="P36">
        <v>0.69111305755820895</v>
      </c>
      <c r="Q36">
        <v>0.32765875324635102</v>
      </c>
      <c r="R36">
        <v>0.61630874477724595</v>
      </c>
      <c r="S36">
        <v>0.329614099433648</v>
      </c>
      <c r="U36">
        <v>6.5620588990029496E-2</v>
      </c>
      <c r="V36">
        <v>4.8274979225857002E-2</v>
      </c>
      <c r="W36">
        <v>5.9289477532490196</v>
      </c>
      <c r="X36">
        <v>7.0729859000000006E-2</v>
      </c>
      <c r="Y36">
        <v>0.18688869</v>
      </c>
      <c r="Z36">
        <v>-0.12377674</v>
      </c>
    </row>
    <row r="37" spans="1:26" x14ac:dyDescent="0.4">
      <c r="A37" t="s">
        <v>98</v>
      </c>
      <c r="X37">
        <v>0.30657390000000001</v>
      </c>
      <c r="Y37">
        <v>4.0776931000000002E-2</v>
      </c>
      <c r="Z37">
        <v>0.37977203999999998</v>
      </c>
    </row>
    <row r="38" spans="1:26" x14ac:dyDescent="0.4">
      <c r="A38" t="s">
        <v>69</v>
      </c>
      <c r="B38">
        <v>118.125</v>
      </c>
      <c r="C38">
        <v>28.533333333333299</v>
      </c>
      <c r="D38">
        <v>0.68237199999999998</v>
      </c>
      <c r="E38">
        <v>0.38733333333333297</v>
      </c>
      <c r="F38">
        <v>-3.9702023571428602</v>
      </c>
      <c r="G38">
        <v>-1.69735375</v>
      </c>
      <c r="H38">
        <v>-2.3131481666666698</v>
      </c>
      <c r="J38">
        <v>0.43559526999999998</v>
      </c>
      <c r="K38">
        <v>0.46266932</v>
      </c>
      <c r="L38">
        <v>14.797117500000001</v>
      </c>
      <c r="M38">
        <v>7.5</v>
      </c>
      <c r="N38">
        <v>14.5348775937972</v>
      </c>
      <c r="O38">
        <v>0.65259716502939202</v>
      </c>
      <c r="P38">
        <v>0.19633984143146599</v>
      </c>
      <c r="Q38">
        <v>1.37898890525495</v>
      </c>
      <c r="R38">
        <v>0.96141626982779105</v>
      </c>
      <c r="S38">
        <v>0.24723697482408799</v>
      </c>
      <c r="U38">
        <v>0.34383347411082399</v>
      </c>
      <c r="V38">
        <v>5.8132202998613401E-2</v>
      </c>
      <c r="W38">
        <v>7.7527230123631403</v>
      </c>
      <c r="X38">
        <v>0.40457179999999998</v>
      </c>
      <c r="Y38">
        <v>0.10205649999999999</v>
      </c>
      <c r="Z38">
        <v>-0.24367040000000001</v>
      </c>
    </row>
    <row r="39" spans="1:26" x14ac:dyDescent="0.4">
      <c r="A39" t="s">
        <v>95</v>
      </c>
      <c r="B39">
        <v>30</v>
      </c>
      <c r="D39">
        <v>4.6566666666666698</v>
      </c>
      <c r="E39">
        <v>4.8466666666666702</v>
      </c>
      <c r="F39">
        <v>-2.18333333333333</v>
      </c>
      <c r="H39">
        <v>-1.1399999999999999</v>
      </c>
      <c r="I39">
        <v>-2.0499999999999998</v>
      </c>
      <c r="J39">
        <v>0.84719488799999998</v>
      </c>
      <c r="K39">
        <v>0.63440419999999997</v>
      </c>
      <c r="O39">
        <v>2.8463368271048499</v>
      </c>
      <c r="P39">
        <v>2.4479651413640102</v>
      </c>
      <c r="Q39">
        <v>0.16165807537309501</v>
      </c>
      <c r="U39">
        <v>0.22513556967006601</v>
      </c>
      <c r="X39">
        <v>-0.49236447</v>
      </c>
      <c r="Y39">
        <v>-0.46223140000000001</v>
      </c>
      <c r="Z39">
        <v>0.22687101000000001</v>
      </c>
    </row>
    <row r="40" spans="1:26" x14ac:dyDescent="0.4">
      <c r="A40" t="s">
        <v>91</v>
      </c>
      <c r="X40">
        <v>-0.36111053999999998</v>
      </c>
      <c r="Y40">
        <v>-0.19594669000000001</v>
      </c>
      <c r="Z40">
        <v>-6.9758713E-2</v>
      </c>
    </row>
    <row r="41" spans="1:26" x14ac:dyDescent="0.4">
      <c r="A41" t="s">
        <v>88</v>
      </c>
      <c r="B41">
        <v>40</v>
      </c>
      <c r="C41">
        <v>15</v>
      </c>
      <c r="F41">
        <v>-3.4316665</v>
      </c>
      <c r="G41">
        <v>-2.06</v>
      </c>
      <c r="H41">
        <v>-3.17</v>
      </c>
      <c r="I41">
        <v>-2.2400000000000002</v>
      </c>
      <c r="L41">
        <v>52.5</v>
      </c>
      <c r="Q41">
        <v>2.3567869016947801E-3</v>
      </c>
      <c r="X41">
        <v>8.0188579999999995E-2</v>
      </c>
      <c r="Y41">
        <v>-0.14260112999999999</v>
      </c>
      <c r="Z41">
        <v>2.9305324000000001E-2</v>
      </c>
    </row>
    <row r="42" spans="1:26" x14ac:dyDescent="0.4">
      <c r="A42" t="s">
        <v>99</v>
      </c>
      <c r="X42">
        <v>0.36792865000000002</v>
      </c>
      <c r="Y42">
        <v>0.25772532999999997</v>
      </c>
      <c r="Z42">
        <v>-0.10036948</v>
      </c>
    </row>
    <row r="43" spans="1:26" x14ac:dyDescent="0.4">
      <c r="A43" t="s">
        <v>105</v>
      </c>
      <c r="B43">
        <v>100</v>
      </c>
      <c r="C43">
        <v>20</v>
      </c>
      <c r="D43">
        <v>0.65</v>
      </c>
      <c r="E43">
        <v>1.98143</v>
      </c>
      <c r="F43">
        <v>-5.1615000000000002</v>
      </c>
      <c r="K43">
        <v>0.49922539999999999</v>
      </c>
      <c r="L43">
        <v>14.433624999999999</v>
      </c>
      <c r="Q43">
        <v>1.9424223279194499</v>
      </c>
      <c r="V43">
        <v>5.6887306231882699E-2</v>
      </c>
      <c r="W43">
        <v>4.5959748746103903</v>
      </c>
      <c r="X43">
        <v>-6.6193998000000004E-2</v>
      </c>
      <c r="Y43">
        <v>-0.24764468000000001</v>
      </c>
      <c r="Z43">
        <v>-2.1249542E-2</v>
      </c>
    </row>
    <row r="44" spans="1:26" x14ac:dyDescent="0.4">
      <c r="A44" t="s">
        <v>109</v>
      </c>
      <c r="B44">
        <v>50</v>
      </c>
      <c r="D44">
        <v>1.4</v>
      </c>
      <c r="E44">
        <v>3.6723400000000002</v>
      </c>
      <c r="F44">
        <v>-2.8780000000000001</v>
      </c>
      <c r="K44">
        <v>0.38900000000000001</v>
      </c>
      <c r="L44">
        <v>19.302800000000001</v>
      </c>
      <c r="X44">
        <v>2.1364398E-2</v>
      </c>
      <c r="Y44">
        <v>-0.23899203999999999</v>
      </c>
      <c r="Z44">
        <v>-0.15130036999999999</v>
      </c>
    </row>
    <row r="45" spans="1:26" x14ac:dyDescent="0.4">
      <c r="A45" t="s">
        <v>83</v>
      </c>
      <c r="B45">
        <v>41.5</v>
      </c>
      <c r="C45">
        <v>8</v>
      </c>
      <c r="D45">
        <v>0.32898680000000002</v>
      </c>
      <c r="E45">
        <v>1.085</v>
      </c>
      <c r="F45">
        <v>-3.07</v>
      </c>
      <c r="J45">
        <v>0.3095</v>
      </c>
      <c r="L45">
        <v>20</v>
      </c>
      <c r="M45">
        <v>16.2634559672906</v>
      </c>
      <c r="X45">
        <v>0.18176623</v>
      </c>
      <c r="Y45">
        <v>-0.37005888999999997</v>
      </c>
      <c r="Z45">
        <v>-0.34237885000000001</v>
      </c>
    </row>
    <row r="46" spans="1:26" x14ac:dyDescent="0.4">
      <c r="A46" t="s">
        <v>74</v>
      </c>
      <c r="X46">
        <v>-0.41340977000000001</v>
      </c>
      <c r="Y46">
        <v>-0.33042400999999999</v>
      </c>
      <c r="Z46">
        <v>1.3013940999999999E-2</v>
      </c>
    </row>
  </sheetData>
  <sortState xmlns:xlrd2="http://schemas.microsoft.com/office/spreadsheetml/2017/richdata2" ref="A2:Z46">
    <sortCondition ref="A2:A46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CF995-3022-42C6-A578-D5E6384682E4}">
  <dimension ref="B2:S47"/>
  <sheetViews>
    <sheetView workbookViewId="0">
      <selection activeCell="G3" sqref="G3"/>
    </sheetView>
  </sheetViews>
  <sheetFormatPr defaultRowHeight="13.9" x14ac:dyDescent="0.4"/>
  <sheetData>
    <row r="2" spans="2:19" x14ac:dyDescent="0.4">
      <c r="B2" t="s">
        <v>66</v>
      </c>
      <c r="C2" t="s">
        <v>0</v>
      </c>
      <c r="D2" t="s">
        <v>1</v>
      </c>
      <c r="E2" t="s">
        <v>53</v>
      </c>
      <c r="F2" t="s">
        <v>47</v>
      </c>
      <c r="G2" t="s">
        <v>48</v>
      </c>
      <c r="H2" t="s">
        <v>2</v>
      </c>
      <c r="I2" t="s">
        <v>3</v>
      </c>
      <c r="J2" t="s">
        <v>4</v>
      </c>
      <c r="K2" t="s">
        <v>0</v>
      </c>
      <c r="L2" t="s">
        <v>0</v>
      </c>
      <c r="M2" t="s">
        <v>66</v>
      </c>
      <c r="N2" t="s">
        <v>67</v>
      </c>
      <c r="O2" t="s">
        <v>68</v>
      </c>
      <c r="P2" t="s">
        <v>0</v>
      </c>
      <c r="Q2" t="s">
        <v>1</v>
      </c>
      <c r="R2" t="s">
        <v>47</v>
      </c>
      <c r="S2" t="s">
        <v>48</v>
      </c>
    </row>
    <row r="3" spans="2:19" x14ac:dyDescent="0.4">
      <c r="B3" t="s">
        <v>6</v>
      </c>
      <c r="C3">
        <v>1.2995049999999999</v>
      </c>
      <c r="E3">
        <v>14.797117500000001</v>
      </c>
      <c r="F3">
        <v>-3.9702023569999998</v>
      </c>
      <c r="G3">
        <v>-1.69735375</v>
      </c>
      <c r="H3">
        <v>-0.19160712999999999</v>
      </c>
      <c r="I3">
        <v>-6.7440300999999994E-2</v>
      </c>
      <c r="J3">
        <v>0.12401377</v>
      </c>
      <c r="K3">
        <v>1.2995049999999999</v>
      </c>
      <c r="L3">
        <v>1.2995049999999999</v>
      </c>
      <c r="M3" t="s">
        <v>77</v>
      </c>
      <c r="N3">
        <v>52.5</v>
      </c>
      <c r="O3">
        <v>25</v>
      </c>
      <c r="P3">
        <v>1.2995049999999999</v>
      </c>
      <c r="R3">
        <v>-3.85025</v>
      </c>
    </row>
    <row r="4" spans="2:19" x14ac:dyDescent="0.4">
      <c r="B4" t="s">
        <v>122</v>
      </c>
      <c r="C4">
        <v>1.6908131</v>
      </c>
      <c r="D4">
        <v>2.6619999999999999</v>
      </c>
      <c r="E4">
        <v>27.449294999999999</v>
      </c>
      <c r="F4">
        <v>-2.0341665</v>
      </c>
      <c r="H4">
        <v>0.40502669484440401</v>
      </c>
      <c r="I4">
        <v>0.86844367</v>
      </c>
      <c r="J4">
        <v>0.25253311000000001</v>
      </c>
      <c r="K4">
        <v>1.6908131</v>
      </c>
      <c r="L4">
        <v>1.6908131</v>
      </c>
      <c r="M4" t="s">
        <v>110</v>
      </c>
      <c r="N4">
        <v>20</v>
      </c>
      <c r="O4">
        <v>2.25</v>
      </c>
      <c r="P4">
        <v>1.6908131</v>
      </c>
      <c r="Q4">
        <v>2.6619999999999999</v>
      </c>
      <c r="R4">
        <v>-2.0341665</v>
      </c>
    </row>
    <row r="5" spans="2:19" x14ac:dyDescent="0.4">
      <c r="B5" t="s">
        <v>7</v>
      </c>
      <c r="C5">
        <v>0.338151333</v>
      </c>
      <c r="D5">
        <v>0.628</v>
      </c>
      <c r="E5">
        <v>16.083140499999999</v>
      </c>
      <c r="F5">
        <v>-2.9522272730000001</v>
      </c>
      <c r="G5">
        <v>-1.051769167</v>
      </c>
      <c r="H5">
        <v>0.23400557</v>
      </c>
      <c r="I5">
        <v>0.27436688999999997</v>
      </c>
      <c r="J5">
        <v>-8.3442963999999994E-2</v>
      </c>
      <c r="K5">
        <v>0.338151333</v>
      </c>
      <c r="L5">
        <v>0.33815133333333303</v>
      </c>
      <c r="M5" t="s">
        <v>84</v>
      </c>
      <c r="N5">
        <v>50</v>
      </c>
      <c r="O5">
        <v>20</v>
      </c>
      <c r="P5">
        <v>0.33815133333333303</v>
      </c>
      <c r="Q5">
        <v>0.628</v>
      </c>
      <c r="R5">
        <v>-3.3839999999999999</v>
      </c>
    </row>
    <row r="6" spans="2:19" x14ac:dyDescent="0.4">
      <c r="B6" t="s">
        <v>8</v>
      </c>
      <c r="F6">
        <v>-3.98</v>
      </c>
      <c r="H6">
        <v>6.4746982999999994E-2</v>
      </c>
      <c r="I6">
        <v>5.909114E-2</v>
      </c>
      <c r="J6">
        <v>-0.20457697</v>
      </c>
      <c r="M6" t="s">
        <v>92</v>
      </c>
    </row>
    <row r="7" spans="2:19" x14ac:dyDescent="0.4">
      <c r="B7" t="s">
        <v>123</v>
      </c>
      <c r="C7">
        <v>2.34</v>
      </c>
      <c r="D7">
        <v>2.85</v>
      </c>
      <c r="E7">
        <v>26.333815000000001</v>
      </c>
      <c r="F7">
        <v>-3.016</v>
      </c>
      <c r="G7">
        <v>-0.1105</v>
      </c>
      <c r="H7">
        <v>-0.19740843999999999</v>
      </c>
      <c r="I7">
        <v>6.4236835000000006E-2</v>
      </c>
      <c r="J7">
        <v>0.33447057000000002</v>
      </c>
      <c r="K7">
        <v>2.34</v>
      </c>
      <c r="L7">
        <v>2.34</v>
      </c>
      <c r="M7" t="s">
        <v>58</v>
      </c>
      <c r="N7">
        <v>25</v>
      </c>
      <c r="O7">
        <v>17.5</v>
      </c>
      <c r="P7">
        <v>2.34</v>
      </c>
      <c r="Q7">
        <v>2.85</v>
      </c>
      <c r="R7">
        <v>-3.016</v>
      </c>
      <c r="S7">
        <v>-0.1105</v>
      </c>
    </row>
    <row r="8" spans="2:19" x14ac:dyDescent="0.4">
      <c r="B8" t="s">
        <v>124</v>
      </c>
      <c r="C8">
        <v>4.0250000000000004</v>
      </c>
      <c r="D8">
        <v>5.2649999999999997</v>
      </c>
      <c r="E8">
        <v>44.283333333333303</v>
      </c>
      <c r="F8">
        <v>-2.3612082499999998</v>
      </c>
      <c r="H8">
        <v>-0.23251429000000001</v>
      </c>
      <c r="I8">
        <v>-0.25789261000000002</v>
      </c>
      <c r="J8">
        <v>0.53212725999999999</v>
      </c>
      <c r="K8">
        <v>4.0250000000000004</v>
      </c>
      <c r="L8">
        <v>4.0250000000000004</v>
      </c>
      <c r="M8" t="s">
        <v>59</v>
      </c>
      <c r="N8">
        <v>35</v>
      </c>
      <c r="O8">
        <v>1.2</v>
      </c>
      <c r="P8">
        <v>4.0250000000000004</v>
      </c>
      <c r="Q8">
        <v>5.2649999999999997</v>
      </c>
      <c r="R8">
        <v>-2.3612082499999998</v>
      </c>
    </row>
    <row r="9" spans="2:19" x14ac:dyDescent="0.4">
      <c r="B9" t="s">
        <v>9</v>
      </c>
      <c r="E9">
        <v>14.463552139999999</v>
      </c>
      <c r="F9">
        <v>-3.2205087890000001</v>
      </c>
      <c r="G9">
        <v>-1.4680952860000001</v>
      </c>
      <c r="H9">
        <v>-0.29515018999999998</v>
      </c>
      <c r="I9">
        <v>0.22359340999999999</v>
      </c>
      <c r="J9">
        <v>-4.3848444E-2</v>
      </c>
      <c r="M9" t="s">
        <v>94</v>
      </c>
    </row>
    <row r="10" spans="2:19" x14ac:dyDescent="0.4">
      <c r="B10" t="s">
        <v>10</v>
      </c>
      <c r="D10">
        <v>1.59826</v>
      </c>
      <c r="F10">
        <v>-4.2953307661609301</v>
      </c>
      <c r="H10">
        <v>0.28533586999999999</v>
      </c>
      <c r="I10">
        <v>0.38783127000000001</v>
      </c>
      <c r="J10">
        <v>3.5423622000000002E-2</v>
      </c>
      <c r="M10" t="s">
        <v>89</v>
      </c>
      <c r="N10">
        <v>24</v>
      </c>
      <c r="Q10">
        <v>1.59826</v>
      </c>
      <c r="R10">
        <v>-4.0842499999999999</v>
      </c>
      <c r="S10">
        <v>-0.47499999999999998</v>
      </c>
    </row>
    <row r="11" spans="2:19" x14ac:dyDescent="0.4">
      <c r="B11" t="s">
        <v>125</v>
      </c>
      <c r="F11">
        <v>-5.08</v>
      </c>
      <c r="H11">
        <v>-0.21054684000000001</v>
      </c>
      <c r="I11">
        <v>-0.28903377000000002</v>
      </c>
      <c r="J11">
        <v>0.22736591</v>
      </c>
      <c r="M11" t="s">
        <v>60</v>
      </c>
      <c r="N11">
        <v>35</v>
      </c>
      <c r="R11">
        <v>-5.08</v>
      </c>
    </row>
    <row r="12" spans="2:19" x14ac:dyDescent="0.4">
      <c r="B12" t="s">
        <v>11</v>
      </c>
      <c r="C12">
        <v>1.83</v>
      </c>
      <c r="D12">
        <v>7.2</v>
      </c>
      <c r="E12">
        <v>23.7</v>
      </c>
      <c r="F12">
        <v>-3.07</v>
      </c>
      <c r="H12">
        <v>-0.66910749999999997</v>
      </c>
      <c r="I12">
        <v>-0.56384838000000004</v>
      </c>
      <c r="J12">
        <v>0.78117537000000004</v>
      </c>
      <c r="K12">
        <v>1.83</v>
      </c>
      <c r="L12">
        <v>1.83</v>
      </c>
      <c r="M12" t="s">
        <v>78</v>
      </c>
      <c r="N12">
        <v>50</v>
      </c>
      <c r="O12">
        <v>22.5</v>
      </c>
      <c r="P12">
        <v>1.83</v>
      </c>
      <c r="Q12">
        <v>7.2</v>
      </c>
      <c r="R12">
        <v>-3.0833333333333299</v>
      </c>
    </row>
    <row r="13" spans="2:19" x14ac:dyDescent="0.4">
      <c r="B13" t="s">
        <v>12</v>
      </c>
      <c r="C13">
        <v>0.28000000000000003</v>
      </c>
      <c r="E13">
        <v>11</v>
      </c>
      <c r="F13">
        <v>-5.303833333</v>
      </c>
      <c r="G13">
        <v>-2.1749999999999998</v>
      </c>
      <c r="H13">
        <v>-0.19586946</v>
      </c>
      <c r="I13">
        <v>0.13189962999999999</v>
      </c>
      <c r="J13">
        <v>-0.36827694999999999</v>
      </c>
      <c r="K13">
        <v>0.28000000000000003</v>
      </c>
      <c r="L13">
        <v>0.28000000000000003</v>
      </c>
      <c r="M13" t="s">
        <v>93</v>
      </c>
      <c r="N13">
        <v>26</v>
      </c>
      <c r="P13">
        <v>0.28000000000000003</v>
      </c>
      <c r="R13">
        <v>-9</v>
      </c>
    </row>
    <row r="14" spans="2:19" x14ac:dyDescent="0.4">
      <c r="B14" t="s">
        <v>13</v>
      </c>
      <c r="F14">
        <v>-4.9069466962636898</v>
      </c>
      <c r="H14">
        <v>0.55258255999999994</v>
      </c>
      <c r="I14">
        <v>8.8657982999999996E-2</v>
      </c>
      <c r="J14">
        <v>-0.16611992</v>
      </c>
      <c r="M14" t="s">
        <v>106</v>
      </c>
    </row>
    <row r="15" spans="2:19" x14ac:dyDescent="0.4">
      <c r="B15" t="s">
        <v>14</v>
      </c>
      <c r="C15">
        <v>0.434</v>
      </c>
      <c r="E15">
        <v>17.18093</v>
      </c>
      <c r="F15">
        <v>-3.85025</v>
      </c>
      <c r="H15">
        <v>-0.31611127</v>
      </c>
      <c r="I15">
        <v>-0.36496456999999999</v>
      </c>
      <c r="J15">
        <v>0.26111733999999998</v>
      </c>
      <c r="K15">
        <v>0.434</v>
      </c>
      <c r="L15">
        <v>0.434</v>
      </c>
      <c r="M15" t="s">
        <v>79</v>
      </c>
      <c r="N15">
        <v>55</v>
      </c>
      <c r="O15">
        <v>13.3333333333333</v>
      </c>
      <c r="P15">
        <v>0.434</v>
      </c>
      <c r="R15">
        <v>-3.7111666666666698</v>
      </c>
    </row>
    <row r="16" spans="2:19" x14ac:dyDescent="0.4">
      <c r="B16" t="s">
        <v>15</v>
      </c>
      <c r="E16">
        <v>23.4</v>
      </c>
      <c r="F16">
        <v>-3.0833333330000001</v>
      </c>
      <c r="H16">
        <v>1.2879994000000001E-2</v>
      </c>
      <c r="I16">
        <v>0.19147465</v>
      </c>
      <c r="J16">
        <v>0.12796551</v>
      </c>
      <c r="M16" t="s">
        <v>86</v>
      </c>
    </row>
    <row r="17" spans="2:19" x14ac:dyDescent="0.4">
      <c r="B17" t="s">
        <v>16</v>
      </c>
      <c r="E17">
        <v>15.112296669999999</v>
      </c>
      <c r="F17">
        <v>-3.7111666670000001</v>
      </c>
      <c r="H17">
        <v>-4.3573650999999998E-2</v>
      </c>
      <c r="I17">
        <v>-7.4015230000000001E-2</v>
      </c>
      <c r="J17">
        <v>-3.7394287000000002E-3</v>
      </c>
      <c r="M17" t="s">
        <v>81</v>
      </c>
    </row>
    <row r="18" spans="2:19" x14ac:dyDescent="0.4">
      <c r="B18" t="s">
        <v>17</v>
      </c>
      <c r="E18">
        <v>25.8</v>
      </c>
      <c r="F18">
        <v>-3.15</v>
      </c>
      <c r="H18">
        <v>-0.16579353999999999</v>
      </c>
      <c r="I18">
        <v>-0.15169843999999999</v>
      </c>
      <c r="J18">
        <v>0.24733156000000001</v>
      </c>
      <c r="M18" t="s">
        <v>87</v>
      </c>
    </row>
    <row r="19" spans="2:19" x14ac:dyDescent="0.4">
      <c r="B19" t="s">
        <v>18</v>
      </c>
      <c r="C19">
        <v>1.127</v>
      </c>
      <c r="H19">
        <v>0.31773405999999998</v>
      </c>
      <c r="I19">
        <v>0.35514839999999998</v>
      </c>
      <c r="J19">
        <v>-4.613068E-2</v>
      </c>
      <c r="K19">
        <v>1.127</v>
      </c>
      <c r="L19">
        <v>1.127</v>
      </c>
      <c r="M19" t="s">
        <v>82</v>
      </c>
      <c r="N19">
        <v>30</v>
      </c>
      <c r="O19">
        <v>30</v>
      </c>
      <c r="P19">
        <v>1.127</v>
      </c>
      <c r="R19">
        <v>-2.8849999999999998</v>
      </c>
      <c r="S19">
        <v>-0.66200000000000003</v>
      </c>
    </row>
    <row r="20" spans="2:19" x14ac:dyDescent="0.4">
      <c r="B20" t="s">
        <v>19</v>
      </c>
      <c r="F20">
        <v>-3.3424999999999998</v>
      </c>
      <c r="G20">
        <v>-0.66200000000000003</v>
      </c>
      <c r="H20">
        <v>-1.2400042E-2</v>
      </c>
      <c r="I20">
        <v>2.3905330999999998E-2</v>
      </c>
      <c r="J20">
        <v>0.20166888999999999</v>
      </c>
      <c r="M20" t="s">
        <v>97</v>
      </c>
    </row>
    <row r="21" spans="2:19" x14ac:dyDescent="0.4">
      <c r="B21" t="s">
        <v>20</v>
      </c>
      <c r="F21">
        <v>-3.07</v>
      </c>
      <c r="H21">
        <v>-0.29468745000000002</v>
      </c>
      <c r="I21">
        <v>-0.31523733999999998</v>
      </c>
      <c r="J21">
        <v>0.38320430999999999</v>
      </c>
      <c r="L21">
        <v>0.52107000000000003</v>
      </c>
      <c r="M21" t="s">
        <v>71</v>
      </c>
      <c r="N21">
        <v>54.4444444444444</v>
      </c>
      <c r="O21">
        <v>13.5388888888889</v>
      </c>
      <c r="P21">
        <v>0.52107000000000003</v>
      </c>
      <c r="Q21">
        <v>2.1495000000000002</v>
      </c>
      <c r="R21">
        <v>-3.7267142857142899</v>
      </c>
    </row>
    <row r="22" spans="2:19" x14ac:dyDescent="0.4">
      <c r="B22" t="s">
        <v>21</v>
      </c>
      <c r="E22">
        <v>13.937010000000001</v>
      </c>
      <c r="F22">
        <v>-3.3839999999999999</v>
      </c>
      <c r="H22">
        <v>0.46271002</v>
      </c>
      <c r="I22">
        <v>0.44144844999999999</v>
      </c>
      <c r="J22">
        <v>-0.63324678000000001</v>
      </c>
      <c r="L22">
        <v>1.034</v>
      </c>
      <c r="M22" t="s">
        <v>76</v>
      </c>
      <c r="N22">
        <v>65</v>
      </c>
      <c r="O22">
        <v>15</v>
      </c>
      <c r="P22">
        <v>1.034</v>
      </c>
      <c r="R22">
        <v>-5.492</v>
      </c>
    </row>
    <row r="23" spans="2:19" x14ac:dyDescent="0.4">
      <c r="B23" t="s">
        <v>22</v>
      </c>
      <c r="E23">
        <v>12.21265</v>
      </c>
      <c r="F23">
        <v>-4.407</v>
      </c>
      <c r="H23">
        <v>-0.24463025999999999</v>
      </c>
      <c r="I23">
        <v>3.0709045000000001E-2</v>
      </c>
      <c r="J23">
        <v>8.2236378999999998E-2</v>
      </c>
      <c r="L23">
        <v>1.96423573333333</v>
      </c>
      <c r="M23" t="s">
        <v>73</v>
      </c>
      <c r="N23">
        <v>40</v>
      </c>
      <c r="O23">
        <v>1.5</v>
      </c>
      <c r="P23">
        <v>1.96423573333333</v>
      </c>
      <c r="Q23">
        <v>2.7931933333333299</v>
      </c>
      <c r="R23">
        <v>-3.60255566666667</v>
      </c>
      <c r="S23">
        <v>-0.40500000000000003</v>
      </c>
    </row>
    <row r="24" spans="2:19" x14ac:dyDescent="0.4">
      <c r="B24" t="s">
        <v>23</v>
      </c>
      <c r="H24">
        <v>-0.14204733</v>
      </c>
      <c r="I24">
        <v>5.6425984999999998E-2</v>
      </c>
      <c r="J24">
        <v>-1.1176373E-2</v>
      </c>
      <c r="L24">
        <v>1.2011591749999999</v>
      </c>
      <c r="M24" t="s">
        <v>108</v>
      </c>
      <c r="N24">
        <v>33.75</v>
      </c>
      <c r="O24">
        <v>18.5</v>
      </c>
      <c r="P24">
        <v>1.2011591749999999</v>
      </c>
      <c r="Q24">
        <v>4.7453525000000001</v>
      </c>
      <c r="R24">
        <v>-4.4513332500000002</v>
      </c>
      <c r="S24">
        <v>-0.375</v>
      </c>
    </row>
    <row r="25" spans="2:19" x14ac:dyDescent="0.4">
      <c r="B25" t="s">
        <v>24</v>
      </c>
      <c r="H25">
        <v>3.5998034999999998E-2</v>
      </c>
      <c r="I25">
        <v>-0.11032002</v>
      </c>
      <c r="J25">
        <v>1.1985348E-2</v>
      </c>
      <c r="M25" t="s">
        <v>103</v>
      </c>
      <c r="N25">
        <v>46</v>
      </c>
      <c r="R25">
        <v>-2.4237500000000001</v>
      </c>
    </row>
    <row r="26" spans="2:19" x14ac:dyDescent="0.4">
      <c r="B26" t="s">
        <v>25</v>
      </c>
      <c r="F26">
        <v>-3.4658332500000002</v>
      </c>
      <c r="G26">
        <v>-2.06</v>
      </c>
      <c r="H26">
        <v>-9.1614901999999998E-2</v>
      </c>
      <c r="I26">
        <v>2.3327344999999999E-2</v>
      </c>
      <c r="J26">
        <v>1.5915478E-2</v>
      </c>
      <c r="M26" t="s">
        <v>90</v>
      </c>
      <c r="N26">
        <v>60</v>
      </c>
      <c r="O26">
        <v>15</v>
      </c>
      <c r="R26">
        <v>-3.85</v>
      </c>
    </row>
    <row r="27" spans="2:19" x14ac:dyDescent="0.4">
      <c r="B27" t="s">
        <v>26</v>
      </c>
      <c r="D27">
        <v>0.31</v>
      </c>
      <c r="E27">
        <v>13.876340000000001</v>
      </c>
      <c r="F27">
        <v>-4.0842499999999999</v>
      </c>
      <c r="G27">
        <v>-0.47499999999999998</v>
      </c>
      <c r="H27">
        <v>-4.6792790000000001E-2</v>
      </c>
      <c r="I27">
        <v>-4.6800899999999999E-2</v>
      </c>
      <c r="J27">
        <v>3.3410519E-2</v>
      </c>
      <c r="M27" t="s">
        <v>107</v>
      </c>
      <c r="N27">
        <v>30</v>
      </c>
      <c r="Q27">
        <v>0.31</v>
      </c>
    </row>
    <row r="28" spans="2:19" x14ac:dyDescent="0.4">
      <c r="B28" t="s">
        <v>27</v>
      </c>
      <c r="C28">
        <v>0.21</v>
      </c>
      <c r="D28">
        <v>1.19</v>
      </c>
      <c r="F28">
        <v>-3.85</v>
      </c>
      <c r="H28">
        <v>0.51582693999999996</v>
      </c>
      <c r="I28">
        <v>0.26512584</v>
      </c>
      <c r="J28">
        <v>0.1586861</v>
      </c>
      <c r="K28">
        <v>0.21</v>
      </c>
      <c r="L28">
        <v>0.21</v>
      </c>
      <c r="M28" t="s">
        <v>100</v>
      </c>
      <c r="N28">
        <v>29</v>
      </c>
      <c r="O28">
        <v>10</v>
      </c>
      <c r="P28">
        <v>0.21</v>
      </c>
      <c r="Q28">
        <v>1.19</v>
      </c>
      <c r="R28">
        <v>-3.3895</v>
      </c>
    </row>
    <row r="29" spans="2:19" x14ac:dyDescent="0.4">
      <c r="B29" t="s">
        <v>28</v>
      </c>
      <c r="C29">
        <v>0.26715</v>
      </c>
      <c r="H29">
        <v>0.14222382</v>
      </c>
      <c r="I29">
        <v>0.11487427</v>
      </c>
      <c r="J29">
        <v>-0.14115688000000001</v>
      </c>
      <c r="K29">
        <v>0.26715</v>
      </c>
      <c r="L29">
        <v>0.26715</v>
      </c>
      <c r="M29" t="s">
        <v>101</v>
      </c>
      <c r="N29">
        <v>35</v>
      </c>
      <c r="O29">
        <v>4.9444443333333297</v>
      </c>
      <c r="P29">
        <v>0.26715</v>
      </c>
      <c r="R29">
        <v>-3.2895556666666699</v>
      </c>
    </row>
    <row r="30" spans="2:19" x14ac:dyDescent="0.4">
      <c r="B30" t="s">
        <v>29</v>
      </c>
      <c r="C30">
        <v>0.40546067499999999</v>
      </c>
      <c r="D30">
        <v>1.649701667</v>
      </c>
      <c r="H30">
        <v>0.25415116999999998</v>
      </c>
      <c r="I30">
        <v>-1.7658073E-2</v>
      </c>
      <c r="J30">
        <v>-0.47518882000000001</v>
      </c>
      <c r="K30">
        <v>0.40546067499999999</v>
      </c>
      <c r="L30">
        <v>0.40546067499999999</v>
      </c>
      <c r="M30" t="s">
        <v>104</v>
      </c>
      <c r="N30">
        <v>48.571428571428598</v>
      </c>
      <c r="O30">
        <v>7.6749999999999998</v>
      </c>
      <c r="P30">
        <v>0.40546067499999999</v>
      </c>
      <c r="Q30">
        <v>1.64970166666667</v>
      </c>
      <c r="R30">
        <v>-3.7665833333333301</v>
      </c>
      <c r="S30">
        <v>-0.74750000000000005</v>
      </c>
    </row>
    <row r="31" spans="2:19" x14ac:dyDescent="0.4">
      <c r="B31" t="s">
        <v>30</v>
      </c>
      <c r="E31">
        <v>8.1085799999999999</v>
      </c>
      <c r="H31">
        <v>-2.1563584E-2</v>
      </c>
      <c r="I31">
        <v>0.35797414</v>
      </c>
      <c r="J31">
        <v>0.12715755000000001</v>
      </c>
      <c r="M31" t="s">
        <v>75</v>
      </c>
      <c r="N31">
        <v>20</v>
      </c>
      <c r="O31">
        <v>10</v>
      </c>
      <c r="R31">
        <v>-5.3038333333333298</v>
      </c>
      <c r="S31">
        <v>-2.1749999999999998</v>
      </c>
    </row>
    <row r="32" spans="2:19" x14ac:dyDescent="0.4">
      <c r="B32" t="s">
        <v>31</v>
      </c>
      <c r="H32">
        <v>-3.1514111999999997E-2</v>
      </c>
      <c r="I32">
        <v>0.15223049</v>
      </c>
      <c r="J32">
        <v>0.23182854</v>
      </c>
      <c r="M32" t="s">
        <v>85</v>
      </c>
      <c r="N32">
        <v>23.3333333333333</v>
      </c>
      <c r="O32">
        <v>10</v>
      </c>
      <c r="R32">
        <v>-4.1746666666666696</v>
      </c>
    </row>
    <row r="33" spans="2:19" x14ac:dyDescent="0.4">
      <c r="B33" t="s">
        <v>32</v>
      </c>
      <c r="F33">
        <v>-2.37</v>
      </c>
      <c r="H33">
        <v>7.8119777000000001E-2</v>
      </c>
      <c r="I33">
        <v>-0.18635707000000001</v>
      </c>
      <c r="J33">
        <v>8.4303199999999995E-2</v>
      </c>
      <c r="M33" t="s">
        <v>96</v>
      </c>
    </row>
    <row r="34" spans="2:19" x14ac:dyDescent="0.4">
      <c r="B34" t="s">
        <v>33</v>
      </c>
      <c r="H34">
        <v>-1.0455351999999999E-2</v>
      </c>
      <c r="I34">
        <v>-0.25857841999999998</v>
      </c>
      <c r="J34">
        <v>-0.14018211</v>
      </c>
      <c r="M34" t="s">
        <v>102</v>
      </c>
    </row>
    <row r="35" spans="2:19" x14ac:dyDescent="0.4">
      <c r="B35" t="s">
        <v>34</v>
      </c>
      <c r="C35">
        <v>0.40699999999999997</v>
      </c>
      <c r="D35">
        <v>3.24</v>
      </c>
      <c r="H35">
        <v>-0.45168659</v>
      </c>
      <c r="I35">
        <v>-0.11384296000000001</v>
      </c>
      <c r="J35">
        <v>-0.25620851</v>
      </c>
      <c r="K35">
        <v>0.40699999999999997</v>
      </c>
      <c r="L35">
        <v>0.40699999999999997</v>
      </c>
      <c r="M35" t="s">
        <v>80</v>
      </c>
      <c r="N35">
        <v>55</v>
      </c>
      <c r="O35">
        <v>9</v>
      </c>
      <c r="P35">
        <v>0.40699999999999997</v>
      </c>
      <c r="Q35">
        <v>3.24</v>
      </c>
      <c r="R35">
        <v>-3.15</v>
      </c>
    </row>
    <row r="36" spans="2:19" x14ac:dyDescent="0.4">
      <c r="B36" t="s">
        <v>35</v>
      </c>
      <c r="C36">
        <v>0.769193083</v>
      </c>
      <c r="D36">
        <v>5.8668566670000004</v>
      </c>
      <c r="H36">
        <v>0.33252335</v>
      </c>
      <c r="I36">
        <v>-1.1430625E-2</v>
      </c>
      <c r="J36">
        <v>5.0160505000000001E-2</v>
      </c>
      <c r="K36">
        <v>0.769193083</v>
      </c>
      <c r="L36">
        <v>0.76919308333333303</v>
      </c>
      <c r="M36" t="s">
        <v>70</v>
      </c>
      <c r="N36">
        <v>72</v>
      </c>
      <c r="O36">
        <v>13.025</v>
      </c>
      <c r="P36">
        <v>0.76919308333333303</v>
      </c>
      <c r="Q36">
        <v>5.8668566666666697</v>
      </c>
      <c r="R36">
        <v>-2.9522272727272698</v>
      </c>
      <c r="S36">
        <v>-1.05176916666667</v>
      </c>
    </row>
    <row r="37" spans="2:19" x14ac:dyDescent="0.4">
      <c r="B37" t="s">
        <v>36</v>
      </c>
      <c r="C37">
        <v>0.44562227999999998</v>
      </c>
      <c r="D37">
        <v>2.7742809290000001</v>
      </c>
      <c r="H37">
        <v>7.0729859000000006E-2</v>
      </c>
      <c r="I37">
        <v>0.18688869</v>
      </c>
      <c r="J37">
        <v>-0.12377674</v>
      </c>
      <c r="K37">
        <v>0.44562227999999998</v>
      </c>
      <c r="L37">
        <v>0.44562227999999998</v>
      </c>
      <c r="M37" t="s">
        <v>72</v>
      </c>
      <c r="N37">
        <v>45</v>
      </c>
      <c r="O37">
        <v>11.744444444444399</v>
      </c>
      <c r="P37">
        <v>0.44562227999999998</v>
      </c>
      <c r="Q37">
        <v>2.77428092857143</v>
      </c>
      <c r="R37">
        <v>-3.2205087894736799</v>
      </c>
      <c r="S37">
        <v>-1.4680952857142899</v>
      </c>
    </row>
    <row r="38" spans="2:19" x14ac:dyDescent="0.4">
      <c r="B38" t="s">
        <v>37</v>
      </c>
      <c r="E38">
        <v>11.354469999999999</v>
      </c>
      <c r="F38">
        <v>-3.3895</v>
      </c>
      <c r="H38">
        <v>0.30657390000000001</v>
      </c>
      <c r="I38">
        <v>4.0776931000000002E-2</v>
      </c>
      <c r="J38">
        <v>0.37977203999999998</v>
      </c>
      <c r="M38" t="s">
        <v>98</v>
      </c>
    </row>
    <row r="39" spans="2:19" x14ac:dyDescent="0.4">
      <c r="B39" t="s">
        <v>38</v>
      </c>
      <c r="C39">
        <v>0.68237199999999998</v>
      </c>
      <c r="D39">
        <v>0.387333333</v>
      </c>
      <c r="E39">
        <v>13.02</v>
      </c>
      <c r="F39">
        <v>-3.2895556670000001</v>
      </c>
      <c r="H39">
        <v>0.40457179999999998</v>
      </c>
      <c r="I39">
        <v>0.10205649999999999</v>
      </c>
      <c r="J39">
        <v>-0.24367040000000001</v>
      </c>
      <c r="K39">
        <v>0.68237199999999998</v>
      </c>
      <c r="L39">
        <v>0.68237199999999998</v>
      </c>
      <c r="M39" t="s">
        <v>69</v>
      </c>
      <c r="N39">
        <v>118.125</v>
      </c>
      <c r="O39">
        <v>28.533333333333299</v>
      </c>
      <c r="P39">
        <v>0.68237199999999998</v>
      </c>
      <c r="Q39">
        <v>0.38733333333333297</v>
      </c>
      <c r="R39">
        <v>-3.9702023571428602</v>
      </c>
      <c r="S39">
        <v>-1.69735375</v>
      </c>
    </row>
    <row r="40" spans="2:19" x14ac:dyDescent="0.4">
      <c r="B40" t="s">
        <v>39</v>
      </c>
      <c r="C40">
        <v>1.37</v>
      </c>
      <c r="D40">
        <v>2.02</v>
      </c>
      <c r="H40">
        <v>-0.49236447</v>
      </c>
      <c r="I40">
        <v>-0.46223140000000001</v>
      </c>
      <c r="J40">
        <v>0.22687101000000001</v>
      </c>
      <c r="K40">
        <v>1.37</v>
      </c>
      <c r="L40">
        <v>4.6566666666666698</v>
      </c>
      <c r="M40" t="s">
        <v>95</v>
      </c>
      <c r="N40">
        <v>30</v>
      </c>
      <c r="P40">
        <v>4.6566666666666698</v>
      </c>
      <c r="Q40">
        <v>4.8466666666666702</v>
      </c>
      <c r="R40">
        <v>-2.18333333333333</v>
      </c>
    </row>
    <row r="41" spans="2:19" x14ac:dyDescent="0.4">
      <c r="B41" t="s">
        <v>40</v>
      </c>
      <c r="H41">
        <v>-0.36111053999999998</v>
      </c>
      <c r="I41">
        <v>-0.19594669000000001</v>
      </c>
      <c r="J41">
        <v>-6.9758713E-2</v>
      </c>
      <c r="M41" t="s">
        <v>91</v>
      </c>
    </row>
    <row r="42" spans="2:19" x14ac:dyDescent="0.4">
      <c r="B42" t="s">
        <v>41</v>
      </c>
      <c r="E42">
        <v>14.973924999999999</v>
      </c>
      <c r="F42">
        <v>-3.5198999999999998</v>
      </c>
      <c r="G42">
        <v>-0.74750000000000005</v>
      </c>
      <c r="H42">
        <v>8.0188579999999995E-2</v>
      </c>
      <c r="I42">
        <v>-0.14260112999999999</v>
      </c>
      <c r="J42">
        <v>2.9305324000000001E-2</v>
      </c>
      <c r="M42" t="s">
        <v>88</v>
      </c>
      <c r="N42">
        <v>40</v>
      </c>
      <c r="O42">
        <v>15</v>
      </c>
      <c r="R42">
        <v>-3.4316665</v>
      </c>
      <c r="S42">
        <v>-2.06</v>
      </c>
    </row>
    <row r="43" spans="2:19" x14ac:dyDescent="0.4">
      <c r="B43" t="s">
        <v>42</v>
      </c>
      <c r="F43">
        <v>-4.8877333333999999</v>
      </c>
      <c r="H43">
        <v>0.36792865000000002</v>
      </c>
      <c r="I43">
        <v>0.25772532999999997</v>
      </c>
      <c r="J43">
        <v>-0.10036948</v>
      </c>
      <c r="M43" t="s">
        <v>99</v>
      </c>
    </row>
    <row r="44" spans="2:19" x14ac:dyDescent="0.4">
      <c r="B44" t="s">
        <v>43</v>
      </c>
      <c r="C44">
        <v>0.65</v>
      </c>
      <c r="D44">
        <v>0.9908140715</v>
      </c>
      <c r="H44">
        <v>-6.6193998000000004E-2</v>
      </c>
      <c r="I44">
        <v>-0.24764468000000001</v>
      </c>
      <c r="J44">
        <v>-2.1249542E-2</v>
      </c>
      <c r="K44">
        <v>0.65</v>
      </c>
      <c r="L44">
        <v>0.65</v>
      </c>
      <c r="M44" t="s">
        <v>105</v>
      </c>
      <c r="N44">
        <v>100</v>
      </c>
      <c r="O44">
        <v>20</v>
      </c>
      <c r="P44">
        <v>0.65</v>
      </c>
      <c r="Q44">
        <v>1.98143</v>
      </c>
      <c r="R44">
        <v>-5.1615000000000002</v>
      </c>
    </row>
    <row r="45" spans="2:19" x14ac:dyDescent="0.4">
      <c r="B45" t="s">
        <v>44</v>
      </c>
      <c r="C45">
        <v>1.4</v>
      </c>
      <c r="D45">
        <v>3.6723400000000002</v>
      </c>
      <c r="H45">
        <v>2.1364398E-2</v>
      </c>
      <c r="I45">
        <v>-0.23899203999999999</v>
      </c>
      <c r="J45">
        <v>-0.15130036999999999</v>
      </c>
      <c r="K45">
        <v>1.4</v>
      </c>
      <c r="L45">
        <v>1.4</v>
      </c>
      <c r="M45" t="s">
        <v>109</v>
      </c>
      <c r="N45">
        <v>50</v>
      </c>
      <c r="P45">
        <v>1.4</v>
      </c>
      <c r="Q45">
        <v>3.6723400000000002</v>
      </c>
      <c r="R45">
        <v>-2.8780000000000001</v>
      </c>
    </row>
    <row r="46" spans="2:19" x14ac:dyDescent="0.4">
      <c r="B46" t="s">
        <v>45</v>
      </c>
      <c r="C46">
        <v>0.32898680699999999</v>
      </c>
      <c r="D46">
        <v>0.36173899999999998</v>
      </c>
      <c r="H46">
        <v>0.18176623</v>
      </c>
      <c r="I46">
        <v>-0.37005888999999997</v>
      </c>
      <c r="J46">
        <v>-0.34237885000000001</v>
      </c>
      <c r="K46">
        <v>0.32898680699999999</v>
      </c>
      <c r="L46">
        <v>0.32898680000000002</v>
      </c>
      <c r="M46" t="s">
        <v>83</v>
      </c>
      <c r="N46">
        <v>41.5</v>
      </c>
      <c r="O46">
        <v>8</v>
      </c>
      <c r="P46">
        <v>0.32898680000000002</v>
      </c>
      <c r="Q46">
        <v>1.085</v>
      </c>
      <c r="R46">
        <v>-3.07</v>
      </c>
    </row>
    <row r="47" spans="2:19" x14ac:dyDescent="0.4">
      <c r="B47" t="s">
        <v>46</v>
      </c>
      <c r="E47">
        <v>19.302800000000001</v>
      </c>
      <c r="F47">
        <v>-2.8780000000000001</v>
      </c>
      <c r="H47">
        <v>-0.41340977000000001</v>
      </c>
      <c r="I47">
        <v>-0.33042400999999999</v>
      </c>
      <c r="J47">
        <v>1.3013940999999999E-2</v>
      </c>
      <c r="M47" t="s">
        <v>74</v>
      </c>
    </row>
  </sheetData>
  <sortState xmlns:xlrd2="http://schemas.microsoft.com/office/spreadsheetml/2017/richdata2" ref="B3:J48">
    <sortCondition ref="B3:B4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zhxianliang</dc:creator>
  <cp:lastModifiedBy>xian liang zhang</cp:lastModifiedBy>
  <dcterms:created xsi:type="dcterms:W3CDTF">2015-06-05T18:19:34Z</dcterms:created>
  <dcterms:modified xsi:type="dcterms:W3CDTF">2025-04-02T02:15:24Z</dcterms:modified>
</cp:coreProperties>
</file>