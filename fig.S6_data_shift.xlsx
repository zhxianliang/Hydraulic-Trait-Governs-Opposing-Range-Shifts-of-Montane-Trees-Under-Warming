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A2FD68A8-C320-4379-B72B-17FE96E6B9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CA" sheetId="1" r:id="rId1"/>
    <sheet name="speciesshift" sheetId="2" r:id="rId2"/>
    <sheet name="Sheet1" sheetId="3" r:id="rId3"/>
  </sheets>
  <externalReferences>
    <externalReference r:id="rId4"/>
  </externalReferences>
  <definedNames>
    <definedName name="_xlnm._FilterDatabase" localSheetId="2" hidden="1">Sheet1!$A$1:$G$418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2" i="3"/>
</calcChain>
</file>

<file path=xl/sharedStrings.xml><?xml version="1.0" encoding="utf-8"?>
<sst xmlns="http://schemas.openxmlformats.org/spreadsheetml/2006/main" count="571" uniqueCount="124">
  <si>
    <t>p50</t>
    <phoneticPr fontId="3" type="noConversion"/>
  </si>
  <si>
    <t>Hact</t>
    <phoneticPr fontId="3" type="noConversion"/>
  </si>
  <si>
    <t>Hmax</t>
    <phoneticPr fontId="3" type="noConversion"/>
  </si>
  <si>
    <t>Ks</t>
    <phoneticPr fontId="3" type="noConversion"/>
  </si>
  <si>
    <t>Kl</t>
    <phoneticPr fontId="3" type="noConversion"/>
  </si>
  <si>
    <t>ppd</t>
    <phoneticPr fontId="3" type="noConversion"/>
  </si>
  <si>
    <t>pmd</t>
    <phoneticPr fontId="3" type="noConversion"/>
  </si>
  <si>
    <t>tlp</t>
    <phoneticPr fontId="3" type="noConversion"/>
  </si>
  <si>
    <t>asal</t>
    <phoneticPr fontId="3" type="noConversion"/>
  </si>
  <si>
    <t>wd</t>
    <phoneticPr fontId="3" type="noConversion"/>
  </si>
  <si>
    <t>vdia</t>
    <phoneticPr fontId="3" type="noConversion"/>
  </si>
  <si>
    <t>shift</t>
  </si>
  <si>
    <t>ABAL</t>
  </si>
  <si>
    <t>ABBA</t>
  </si>
  <si>
    <t>ABCO</t>
  </si>
  <si>
    <t>ABGR</t>
  </si>
  <si>
    <t>ACCA</t>
  </si>
  <si>
    <t>ACDE</t>
  </si>
  <si>
    <t>ACGL</t>
  </si>
  <si>
    <t>ACMO</t>
  </si>
  <si>
    <t>ACNE</t>
  </si>
  <si>
    <t>ACOP</t>
  </si>
  <si>
    <t>ACPL</t>
  </si>
  <si>
    <t>ACPS</t>
  </si>
  <si>
    <t>ACRU</t>
  </si>
  <si>
    <t>ACSA</t>
  </si>
  <si>
    <t>ADFA</t>
  </si>
  <si>
    <t>ADSP</t>
  </si>
  <si>
    <t>ALGL</t>
  </si>
  <si>
    <t>ALIN</t>
  </si>
  <si>
    <t>ALRH</t>
  </si>
  <si>
    <t>ALRU</t>
  </si>
  <si>
    <t>BEOC</t>
  </si>
  <si>
    <t>BEPA</t>
  </si>
  <si>
    <t>BEPE</t>
  </si>
  <si>
    <t>CABE</t>
  </si>
  <si>
    <t>CADE</t>
  </si>
  <si>
    <t>CEAT</t>
  </si>
  <si>
    <t>CEBE</t>
  </si>
  <si>
    <t>CHLA</t>
  </si>
  <si>
    <t>CUSE</t>
  </si>
  <si>
    <t>EUCA</t>
  </si>
  <si>
    <t>EUGL</t>
  </si>
  <si>
    <t>FASY</t>
  </si>
  <si>
    <t>FRAL</t>
  </si>
  <si>
    <t>FRAM</t>
  </si>
  <si>
    <t>FREX</t>
  </si>
  <si>
    <t>FROR</t>
  </si>
  <si>
    <t>JUCA</t>
  </si>
  <si>
    <t>JUCO</t>
  </si>
  <si>
    <t>JUDE</t>
  </si>
  <si>
    <t>JUOC</t>
  </si>
  <si>
    <t>JUOS</t>
  </si>
  <si>
    <t>JUOX</t>
  </si>
  <si>
    <t>JURE</t>
  </si>
  <si>
    <t>JUSA</t>
  </si>
  <si>
    <t>LADE</t>
  </si>
  <si>
    <t>LANO</t>
  </si>
  <si>
    <t>LIVU</t>
  </si>
  <si>
    <t>MALA</t>
  </si>
  <si>
    <t>MOAL</t>
  </si>
  <si>
    <t>PAMI</t>
  </si>
  <si>
    <t>PAMY</t>
  </si>
  <si>
    <t>PIAB</t>
  </si>
  <si>
    <t>PIAL</t>
  </si>
  <si>
    <t>PICE</t>
  </si>
  <si>
    <t>PICO</t>
  </si>
  <si>
    <t>PIFL</t>
  </si>
  <si>
    <t>PIGL</t>
  </si>
  <si>
    <t>PIHA</t>
  </si>
  <si>
    <t>PIMO</t>
  </si>
  <si>
    <t>PINI</t>
  </si>
  <si>
    <t>PIPI</t>
  </si>
  <si>
    <t>PIPO</t>
  </si>
  <si>
    <t>PIRU</t>
  </si>
  <si>
    <t>PISY</t>
  </si>
  <si>
    <t>PITE</t>
  </si>
  <si>
    <t>PLRA</t>
  </si>
  <si>
    <t>POAL</t>
  </si>
  <si>
    <t>POFR</t>
  </si>
  <si>
    <t>PONI</t>
  </si>
  <si>
    <t>POTR</t>
  </si>
  <si>
    <t>PRAV</t>
  </si>
  <si>
    <t>PRIL</t>
  </si>
  <si>
    <t>PRMA</t>
  </si>
  <si>
    <t>PRPE</t>
  </si>
  <si>
    <t>PRSE</t>
  </si>
  <si>
    <t>PRSP</t>
  </si>
  <si>
    <t>PRVI</t>
  </si>
  <si>
    <t>PSME</t>
  </si>
  <si>
    <t>QUAG</t>
  </si>
  <si>
    <t>QUBE</t>
  </si>
  <si>
    <t>QUCO</t>
  </si>
  <si>
    <t>QUGA</t>
  </si>
  <si>
    <t>QUIL</t>
  </si>
  <si>
    <t>QUPE</t>
  </si>
  <si>
    <t>QUPU</t>
  </si>
  <si>
    <t>QURO</t>
  </si>
  <si>
    <t>QUSU</t>
  </si>
  <si>
    <t>QUTU</t>
  </si>
  <si>
    <t>QUWI</t>
  </si>
  <si>
    <t>RULE</t>
  </si>
  <si>
    <t>RUPA</t>
  </si>
  <si>
    <t>SAVI</t>
  </si>
  <si>
    <t>SCMO</t>
  </si>
  <si>
    <t>SEGI</t>
  </si>
  <si>
    <t>SESE</t>
  </si>
  <si>
    <t>TARA</t>
  </si>
  <si>
    <t>TICO</t>
  </si>
  <si>
    <t>TIPL</t>
  </si>
  <si>
    <t>TSHE</t>
  </si>
  <si>
    <t>species</t>
    <phoneticPr fontId="2" type="noConversion"/>
  </si>
  <si>
    <t>NaN</t>
  </si>
  <si>
    <t>ele</t>
    <phoneticPr fontId="2" type="noConversion"/>
  </si>
  <si>
    <t>lon</t>
    <phoneticPr fontId="2" type="noConversion"/>
  </si>
  <si>
    <t>lat</t>
    <phoneticPr fontId="2" type="noConversion"/>
  </si>
  <si>
    <t>shift</t>
    <phoneticPr fontId="2" type="noConversion"/>
  </si>
  <si>
    <t>year</t>
    <phoneticPr fontId="2" type="noConversion"/>
  </si>
  <si>
    <t>PCAB</t>
  </si>
  <si>
    <t>PCGL</t>
  </si>
  <si>
    <t>PCRU</t>
    <phoneticPr fontId="2" type="noConversion"/>
  </si>
  <si>
    <t>POTE</t>
    <phoneticPr fontId="2" type="noConversion"/>
  </si>
  <si>
    <t>POTI</t>
    <phoneticPr fontId="2" type="noConversion"/>
  </si>
  <si>
    <t>QUGI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</si>
</sst>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[1]乔木!$D$1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[1]乔木!$C$2:$C$103</c:f>
              <c:strCache>
                <c:ptCount val="102"/>
                <c:pt idx="0">
                  <c:v>ABAL</c:v>
                </c:pt>
                <c:pt idx="1">
                  <c:v>ABBA</c:v>
                </c:pt>
                <c:pt idx="2">
                  <c:v>ABCO</c:v>
                </c:pt>
                <c:pt idx="3">
                  <c:v>ABGR</c:v>
                </c:pt>
                <c:pt idx="4">
                  <c:v>ACCA</c:v>
                </c:pt>
                <c:pt idx="5">
                  <c:v>ACDE</c:v>
                </c:pt>
                <c:pt idx="6">
                  <c:v>ACGL</c:v>
                </c:pt>
                <c:pt idx="7">
                  <c:v>ACMO</c:v>
                </c:pt>
                <c:pt idx="8">
                  <c:v>ACNE</c:v>
                </c:pt>
                <c:pt idx="9">
                  <c:v>ACOP</c:v>
                </c:pt>
                <c:pt idx="10">
                  <c:v>ACPL</c:v>
                </c:pt>
                <c:pt idx="11">
                  <c:v>ACPS</c:v>
                </c:pt>
                <c:pt idx="12">
                  <c:v>ACRU</c:v>
                </c:pt>
                <c:pt idx="13">
                  <c:v>ACSA</c:v>
                </c:pt>
                <c:pt idx="14">
                  <c:v>ADFA</c:v>
                </c:pt>
                <c:pt idx="15">
                  <c:v>ADSP</c:v>
                </c:pt>
                <c:pt idx="16">
                  <c:v>ALGL</c:v>
                </c:pt>
                <c:pt idx="17">
                  <c:v>ALIN</c:v>
                </c:pt>
                <c:pt idx="18">
                  <c:v>ALRH</c:v>
                </c:pt>
                <c:pt idx="19">
                  <c:v>ALRU</c:v>
                </c:pt>
                <c:pt idx="20">
                  <c:v>BEOC</c:v>
                </c:pt>
                <c:pt idx="21">
                  <c:v>BEPA</c:v>
                </c:pt>
                <c:pt idx="22">
                  <c:v>BEPE</c:v>
                </c:pt>
                <c:pt idx="23">
                  <c:v>CABE</c:v>
                </c:pt>
                <c:pt idx="24">
                  <c:v>CADE</c:v>
                </c:pt>
                <c:pt idx="25">
                  <c:v>CEAT</c:v>
                </c:pt>
                <c:pt idx="26">
                  <c:v>CEBE</c:v>
                </c:pt>
                <c:pt idx="27">
                  <c:v>CHLA</c:v>
                </c:pt>
                <c:pt idx="28">
                  <c:v>CUSE</c:v>
                </c:pt>
                <c:pt idx="29">
                  <c:v>EUCA</c:v>
                </c:pt>
                <c:pt idx="30">
                  <c:v>EUGL</c:v>
                </c:pt>
                <c:pt idx="31">
                  <c:v>FASY</c:v>
                </c:pt>
                <c:pt idx="32">
                  <c:v>FRAL</c:v>
                </c:pt>
                <c:pt idx="33">
                  <c:v>FRAM</c:v>
                </c:pt>
                <c:pt idx="34">
                  <c:v>FREX</c:v>
                </c:pt>
                <c:pt idx="35">
                  <c:v>FROR</c:v>
                </c:pt>
                <c:pt idx="36">
                  <c:v>JUCA</c:v>
                </c:pt>
                <c:pt idx="37">
                  <c:v>JUCO</c:v>
                </c:pt>
                <c:pt idx="38">
                  <c:v>JUDE</c:v>
                </c:pt>
                <c:pt idx="39">
                  <c:v>JUOC</c:v>
                </c:pt>
                <c:pt idx="40">
                  <c:v>JUOS</c:v>
                </c:pt>
                <c:pt idx="41">
                  <c:v>JUOX</c:v>
                </c:pt>
                <c:pt idx="42">
                  <c:v>JURE</c:v>
                </c:pt>
                <c:pt idx="43">
                  <c:v>JUSA</c:v>
                </c:pt>
                <c:pt idx="44">
                  <c:v>LADE</c:v>
                </c:pt>
                <c:pt idx="45">
                  <c:v>LANO</c:v>
                </c:pt>
                <c:pt idx="46">
                  <c:v>LIVU</c:v>
                </c:pt>
                <c:pt idx="47">
                  <c:v>MALA</c:v>
                </c:pt>
                <c:pt idx="48">
                  <c:v>MOAL</c:v>
                </c:pt>
                <c:pt idx="49">
                  <c:v>PAMI</c:v>
                </c:pt>
                <c:pt idx="50">
                  <c:v>PAMY</c:v>
                </c:pt>
                <c:pt idx="51">
                  <c:v>PIAB</c:v>
                </c:pt>
                <c:pt idx="52">
                  <c:v>PIAL</c:v>
                </c:pt>
                <c:pt idx="53">
                  <c:v>PICE</c:v>
                </c:pt>
                <c:pt idx="54">
                  <c:v>PICO</c:v>
                </c:pt>
                <c:pt idx="55">
                  <c:v>PIFL</c:v>
                </c:pt>
                <c:pt idx="56">
                  <c:v>PIGL</c:v>
                </c:pt>
                <c:pt idx="57">
                  <c:v>PIHA</c:v>
                </c:pt>
                <c:pt idx="58">
                  <c:v>PIMO</c:v>
                </c:pt>
                <c:pt idx="59">
                  <c:v>PINI</c:v>
                </c:pt>
                <c:pt idx="60">
                  <c:v>PIPI</c:v>
                </c:pt>
                <c:pt idx="61">
                  <c:v>PIPO</c:v>
                </c:pt>
                <c:pt idx="62">
                  <c:v>PIRU</c:v>
                </c:pt>
                <c:pt idx="63">
                  <c:v>PISY</c:v>
                </c:pt>
                <c:pt idx="64">
                  <c:v>PITE</c:v>
                </c:pt>
                <c:pt idx="65">
                  <c:v>PLRA</c:v>
                </c:pt>
                <c:pt idx="66">
                  <c:v>POAL</c:v>
                </c:pt>
                <c:pt idx="67">
                  <c:v>POFR</c:v>
                </c:pt>
                <c:pt idx="68">
                  <c:v>PONI</c:v>
                </c:pt>
                <c:pt idx="69">
                  <c:v>POTR</c:v>
                </c:pt>
                <c:pt idx="70">
                  <c:v>POTR</c:v>
                </c:pt>
                <c:pt idx="71">
                  <c:v>POTR</c:v>
                </c:pt>
                <c:pt idx="72">
                  <c:v>PRAV</c:v>
                </c:pt>
                <c:pt idx="73">
                  <c:v>PRIL</c:v>
                </c:pt>
                <c:pt idx="74">
                  <c:v>PRMA</c:v>
                </c:pt>
                <c:pt idx="75">
                  <c:v>PRPE</c:v>
                </c:pt>
                <c:pt idx="76">
                  <c:v>PRSE</c:v>
                </c:pt>
                <c:pt idx="77">
                  <c:v>PRSP</c:v>
                </c:pt>
                <c:pt idx="78">
                  <c:v>PRVI</c:v>
                </c:pt>
                <c:pt idx="79">
                  <c:v>PSME</c:v>
                </c:pt>
                <c:pt idx="80">
                  <c:v>QUAG</c:v>
                </c:pt>
                <c:pt idx="81">
                  <c:v>QUBE</c:v>
                </c:pt>
                <c:pt idx="82">
                  <c:v>QUCO</c:v>
                </c:pt>
                <c:pt idx="83">
                  <c:v>QUGA</c:v>
                </c:pt>
                <c:pt idx="84">
                  <c:v>QUGA</c:v>
                </c:pt>
                <c:pt idx="85">
                  <c:v>QUIL</c:v>
                </c:pt>
                <c:pt idx="86">
                  <c:v>QUPE</c:v>
                </c:pt>
                <c:pt idx="87">
                  <c:v>QUPU</c:v>
                </c:pt>
                <c:pt idx="88">
                  <c:v>QURO</c:v>
                </c:pt>
                <c:pt idx="89">
                  <c:v>QUSU</c:v>
                </c:pt>
                <c:pt idx="90">
                  <c:v>QUTU</c:v>
                </c:pt>
                <c:pt idx="91">
                  <c:v>QUWI</c:v>
                </c:pt>
                <c:pt idx="92">
                  <c:v>RULE</c:v>
                </c:pt>
                <c:pt idx="93">
                  <c:v>RUPA</c:v>
                </c:pt>
                <c:pt idx="94">
                  <c:v>SAVI</c:v>
                </c:pt>
                <c:pt idx="95">
                  <c:v>SCMO</c:v>
                </c:pt>
                <c:pt idx="96">
                  <c:v>SEGI</c:v>
                </c:pt>
                <c:pt idx="97">
                  <c:v>SESE</c:v>
                </c:pt>
                <c:pt idx="98">
                  <c:v>TARA</c:v>
                </c:pt>
                <c:pt idx="99">
                  <c:v>TICO</c:v>
                </c:pt>
                <c:pt idx="100">
                  <c:v>TIPL</c:v>
                </c:pt>
                <c:pt idx="101">
                  <c:v>TSHE</c:v>
                </c:pt>
              </c:strCache>
            </c:strRef>
          </c:cat>
          <c:val>
            <c:numRef>
              <c:f>[1]乔木!$D$2:$D$103</c:f>
              <c:numCache>
                <c:formatCode>General</c:formatCode>
                <c:ptCount val="102"/>
                <c:pt idx="0">
                  <c:v>0.92110000000000003</c:v>
                </c:pt>
                <c:pt idx="1">
                  <c:v>0.25600000000000001</c:v>
                </c:pt>
                <c:pt idx="2">
                  <c:v>1.05925</c:v>
                </c:pt>
                <c:pt idx="3">
                  <c:v>-1.4350000000000001</c:v>
                </c:pt>
                <c:pt idx="4">
                  <c:v>1.7853333333333301</c:v>
                </c:pt>
                <c:pt idx="5">
                  <c:v>-3.4039999999999999</c:v>
                </c:pt>
                <c:pt idx="6">
                  <c:v>-0.44933333333333297</c:v>
                </c:pt>
                <c:pt idx="7">
                  <c:v>2.8140000000000001</c:v>
                </c:pt>
                <c:pt idx="8">
                  <c:v>19.151499999999999</c:v>
                </c:pt>
                <c:pt idx="9">
                  <c:v>1.7585</c:v>
                </c:pt>
                <c:pt idx="10">
                  <c:v>2.4195555555555601</c:v>
                </c:pt>
                <c:pt idx="11">
                  <c:v>1.2242</c:v>
                </c:pt>
                <c:pt idx="12">
                  <c:v>-7.0000000000000007E-2</c:v>
                </c:pt>
                <c:pt idx="13">
                  <c:v>7.0000000000000007E-2</c:v>
                </c:pt>
                <c:pt idx="14">
                  <c:v>0.57199999999999995</c:v>
                </c:pt>
                <c:pt idx="15">
                  <c:v>-1.544</c:v>
                </c:pt>
                <c:pt idx="16">
                  <c:v>2.7959999999999998</c:v>
                </c:pt>
                <c:pt idx="17">
                  <c:v>5.8594999999999997</c:v>
                </c:pt>
                <c:pt idx="18">
                  <c:v>-1.8420000000000001</c:v>
                </c:pt>
                <c:pt idx="19">
                  <c:v>2.367</c:v>
                </c:pt>
                <c:pt idx="20">
                  <c:v>1.7789999999999999</c:v>
                </c:pt>
                <c:pt idx="21">
                  <c:v>1.698</c:v>
                </c:pt>
                <c:pt idx="22">
                  <c:v>1.7653333333333301</c:v>
                </c:pt>
                <c:pt idx="23">
                  <c:v>0.46437499999999998</c:v>
                </c:pt>
                <c:pt idx="24">
                  <c:v>-0.61866666666666703</c:v>
                </c:pt>
                <c:pt idx="25">
                  <c:v>0.42899999999999999</c:v>
                </c:pt>
                <c:pt idx="26">
                  <c:v>2.3969999999999998</c:v>
                </c:pt>
                <c:pt idx="27">
                  <c:v>0.85199999999999998</c:v>
                </c:pt>
                <c:pt idx="28">
                  <c:v>22.785</c:v>
                </c:pt>
                <c:pt idx="29">
                  <c:v>3.6579999999999999</c:v>
                </c:pt>
                <c:pt idx="30">
                  <c:v>3.2810000000000001</c:v>
                </c:pt>
                <c:pt idx="31">
                  <c:v>1.0786249999999999</c:v>
                </c:pt>
                <c:pt idx="32">
                  <c:v>3.0874999999999999</c:v>
                </c:pt>
                <c:pt idx="33">
                  <c:v>-0.55800000000000005</c:v>
                </c:pt>
                <c:pt idx="34">
                  <c:v>2.9874999999999998</c:v>
                </c:pt>
                <c:pt idx="35">
                  <c:v>4.6894999999999998</c:v>
                </c:pt>
                <c:pt idx="36">
                  <c:v>-1.9530000000000001</c:v>
                </c:pt>
                <c:pt idx="37">
                  <c:v>0.558071428571429</c:v>
                </c:pt>
                <c:pt idx="38">
                  <c:v>3.1970000000000001</c:v>
                </c:pt>
                <c:pt idx="39">
                  <c:v>-2.84</c:v>
                </c:pt>
                <c:pt idx="40">
                  <c:v>-1.748</c:v>
                </c:pt>
                <c:pt idx="41">
                  <c:v>0.14299999999999999</c:v>
                </c:pt>
                <c:pt idx="42">
                  <c:v>2.3075000000000001</c:v>
                </c:pt>
                <c:pt idx="43">
                  <c:v>5.7859999999999996</c:v>
                </c:pt>
                <c:pt idx="44">
                  <c:v>0.55900000000000005</c:v>
                </c:pt>
                <c:pt idx="45">
                  <c:v>1.159</c:v>
                </c:pt>
                <c:pt idx="46">
                  <c:v>2.601</c:v>
                </c:pt>
                <c:pt idx="47">
                  <c:v>-0.50900000000000001</c:v>
                </c:pt>
                <c:pt idx="48">
                  <c:v>6.9130000000000003</c:v>
                </c:pt>
                <c:pt idx="49">
                  <c:v>0.436</c:v>
                </c:pt>
                <c:pt idx="50">
                  <c:v>-1.4610000000000001</c:v>
                </c:pt>
                <c:pt idx="51">
                  <c:v>1.5645</c:v>
                </c:pt>
                <c:pt idx="52">
                  <c:v>-2.952</c:v>
                </c:pt>
                <c:pt idx="53">
                  <c:v>2.2909999999999999</c:v>
                </c:pt>
                <c:pt idx="54">
                  <c:v>1.0878000000000001</c:v>
                </c:pt>
                <c:pt idx="55">
                  <c:v>1.0669999999999999</c:v>
                </c:pt>
                <c:pt idx="56">
                  <c:v>1.6806666666666701</c:v>
                </c:pt>
                <c:pt idx="57">
                  <c:v>-0.5</c:v>
                </c:pt>
                <c:pt idx="58">
                  <c:v>4.0140000000000002</c:v>
                </c:pt>
                <c:pt idx="59">
                  <c:v>-2.4666666666666699</c:v>
                </c:pt>
                <c:pt idx="60">
                  <c:v>0.64300000000000002</c:v>
                </c:pt>
                <c:pt idx="61">
                  <c:v>0.52500000000000002</c:v>
                </c:pt>
                <c:pt idx="62">
                  <c:v>7.0000000000000007E-2</c:v>
                </c:pt>
                <c:pt idx="63">
                  <c:v>0.92379999999999995</c:v>
                </c:pt>
                <c:pt idx="64">
                  <c:v>0.8175</c:v>
                </c:pt>
                <c:pt idx="65">
                  <c:v>-1.4</c:v>
                </c:pt>
                <c:pt idx="66">
                  <c:v>12.058</c:v>
                </c:pt>
                <c:pt idx="67">
                  <c:v>2.476</c:v>
                </c:pt>
                <c:pt idx="68">
                  <c:v>1.4339999999999999</c:v>
                </c:pt>
                <c:pt idx="69">
                  <c:v>6.8468</c:v>
                </c:pt>
                <c:pt idx="70">
                  <c:v>4.3140000000000001</c:v>
                </c:pt>
                <c:pt idx="71">
                  <c:v>5.5179999999999998</c:v>
                </c:pt>
                <c:pt idx="72">
                  <c:v>2.0289999999999999</c:v>
                </c:pt>
                <c:pt idx="73">
                  <c:v>-0.96833333333333305</c:v>
                </c:pt>
                <c:pt idx="74">
                  <c:v>2.4996666666666698</c:v>
                </c:pt>
                <c:pt idx="75">
                  <c:v>0.42899999999999999</c:v>
                </c:pt>
                <c:pt idx="76">
                  <c:v>1.349</c:v>
                </c:pt>
                <c:pt idx="77">
                  <c:v>1.637</c:v>
                </c:pt>
                <c:pt idx="78">
                  <c:v>3.5910000000000002</c:v>
                </c:pt>
                <c:pt idx="79">
                  <c:v>0.78533333333333299</c:v>
                </c:pt>
                <c:pt idx="80">
                  <c:v>-1.38</c:v>
                </c:pt>
                <c:pt idx="81">
                  <c:v>4.5185000000000004</c:v>
                </c:pt>
                <c:pt idx="82">
                  <c:v>-4.1429999999999998</c:v>
                </c:pt>
                <c:pt idx="83">
                  <c:v>0.65180000000000005</c:v>
                </c:pt>
                <c:pt idx="84">
                  <c:v>2.5754999999999999</c:v>
                </c:pt>
                <c:pt idx="85">
                  <c:v>1.09728571428571</c:v>
                </c:pt>
                <c:pt idx="86">
                  <c:v>2.40627272727273</c:v>
                </c:pt>
                <c:pt idx="87">
                  <c:v>0.76639999999999997</c:v>
                </c:pt>
                <c:pt idx="88">
                  <c:v>-0.94850000000000001</c:v>
                </c:pt>
                <c:pt idx="89">
                  <c:v>-1.5</c:v>
                </c:pt>
                <c:pt idx="90">
                  <c:v>1.1819999999999999</c:v>
                </c:pt>
                <c:pt idx="91">
                  <c:v>-1.2253333333333301</c:v>
                </c:pt>
                <c:pt idx="92">
                  <c:v>0.88200000000000001</c:v>
                </c:pt>
                <c:pt idx="93">
                  <c:v>1.962</c:v>
                </c:pt>
                <c:pt idx="94">
                  <c:v>16.119</c:v>
                </c:pt>
                <c:pt idx="95">
                  <c:v>0.66200000000000003</c:v>
                </c:pt>
                <c:pt idx="96">
                  <c:v>-6.3E-2</c:v>
                </c:pt>
                <c:pt idx="97">
                  <c:v>0.76200000000000001</c:v>
                </c:pt>
                <c:pt idx="98">
                  <c:v>4.2569999999999997</c:v>
                </c:pt>
                <c:pt idx="99">
                  <c:v>0.73550000000000004</c:v>
                </c:pt>
                <c:pt idx="100">
                  <c:v>9.202</c:v>
                </c:pt>
                <c:pt idx="101">
                  <c:v>-3.3660000000000001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9-4FDA-9869-C40D90C4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934928"/>
        <c:axId val="1466945968"/>
      </c:barChart>
      <c:catAx>
        <c:axId val="14669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6945968"/>
        <c:crosses val="autoZero"/>
        <c:auto val="1"/>
        <c:lblAlgn val="ctr"/>
        <c:lblOffset val="100"/>
        <c:noMultiLvlLbl val="0"/>
      </c:catAx>
      <c:valAx>
        <c:axId val="14669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69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188118</xdr:colOff>
      <xdr:row>88</xdr:row>
      <xdr:rowOff>123824</xdr:rowOff>
    </xdr:from>
    <xdr:to>
      <xdr:col>8</xdr:col>
      <xdr:colOff>226218</xdr:colOff>
      <xdr:row>104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05193A7-B4C6-4B69-A0C4-32EE00824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TRDB_5000\Mountain_site\shift_trait_cr.xlsx" TargetMode="External"/><Relationship Id="rId1" Type="http://schemas.openxmlformats.org/officeDocument/2006/relationships/externalLinkPath" Target="shift_trait_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m_trees"/>
      <sheetName val="全面"/>
      <sheetName val="乔木"/>
      <sheetName val="Sheet2"/>
      <sheetName val="Sheet1"/>
      <sheetName val="tlp"/>
      <sheetName val="shift_trait (2)"/>
      <sheetName val="shift_trait"/>
    </sheetNames>
    <sheetDataSet>
      <sheetData sheetId="0"/>
      <sheetData sheetId="1"/>
      <sheetData sheetId="2">
        <row r="1">
          <cell r="D1" t="str">
            <v>shift</v>
          </cell>
        </row>
        <row r="2">
          <cell r="C2" t="str">
            <v>ABAL</v>
          </cell>
          <cell r="D2">
            <v>0.92110000000000003</v>
          </cell>
        </row>
        <row r="3">
          <cell r="C3" t="str">
            <v>ABBA</v>
          </cell>
          <cell r="D3">
            <v>0.25600000000000001</v>
          </cell>
        </row>
        <row r="4">
          <cell r="C4" t="str">
            <v>ABCO</v>
          </cell>
          <cell r="D4">
            <v>1.05925</v>
          </cell>
        </row>
        <row r="5">
          <cell r="C5" t="str">
            <v>ABGR</v>
          </cell>
          <cell r="D5">
            <v>-1.4350000000000001</v>
          </cell>
        </row>
        <row r="6">
          <cell r="C6" t="str">
            <v>ACCA</v>
          </cell>
          <cell r="D6">
            <v>1.7853333333333301</v>
          </cell>
        </row>
        <row r="7">
          <cell r="C7" t="str">
            <v>ACDE</v>
          </cell>
          <cell r="D7">
            <v>-3.4039999999999999</v>
          </cell>
        </row>
        <row r="8">
          <cell r="C8" t="str">
            <v>ACGL</v>
          </cell>
          <cell r="D8">
            <v>-0.44933333333333297</v>
          </cell>
        </row>
        <row r="9">
          <cell r="C9" t="str">
            <v>ACMO</v>
          </cell>
          <cell r="D9">
            <v>2.8140000000000001</v>
          </cell>
        </row>
        <row r="10">
          <cell r="C10" t="str">
            <v>ACNE</v>
          </cell>
          <cell r="D10">
            <v>19.151499999999999</v>
          </cell>
        </row>
        <row r="11">
          <cell r="C11" t="str">
            <v>ACOP</v>
          </cell>
          <cell r="D11">
            <v>1.7585</v>
          </cell>
        </row>
        <row r="12">
          <cell r="C12" t="str">
            <v>ACPL</v>
          </cell>
          <cell r="D12">
            <v>2.4195555555555601</v>
          </cell>
        </row>
        <row r="13">
          <cell r="C13" t="str">
            <v>ACPS</v>
          </cell>
          <cell r="D13">
            <v>1.2242</v>
          </cell>
        </row>
        <row r="14">
          <cell r="C14" t="str">
            <v>ACRU</v>
          </cell>
          <cell r="D14">
            <v>-7.0000000000000007E-2</v>
          </cell>
        </row>
        <row r="15">
          <cell r="C15" t="str">
            <v>ACSA</v>
          </cell>
          <cell r="D15">
            <v>7.0000000000000007E-2</v>
          </cell>
        </row>
        <row r="16">
          <cell r="C16" t="str">
            <v>ADFA</v>
          </cell>
          <cell r="D16">
            <v>0.57199999999999995</v>
          </cell>
        </row>
        <row r="17">
          <cell r="C17" t="str">
            <v>ADSP</v>
          </cell>
          <cell r="D17">
            <v>-1.544</v>
          </cell>
        </row>
        <row r="18">
          <cell r="C18" t="str">
            <v>ALGL</v>
          </cell>
          <cell r="D18">
            <v>2.7959999999999998</v>
          </cell>
        </row>
        <row r="19">
          <cell r="C19" t="str">
            <v>ALIN</v>
          </cell>
          <cell r="D19">
            <v>5.8594999999999997</v>
          </cell>
        </row>
        <row r="20">
          <cell r="C20" t="str">
            <v>ALRH</v>
          </cell>
          <cell r="D20">
            <v>-1.8420000000000001</v>
          </cell>
        </row>
        <row r="21">
          <cell r="C21" t="str">
            <v>ALRU</v>
          </cell>
          <cell r="D21">
            <v>2.367</v>
          </cell>
        </row>
        <row r="22">
          <cell r="C22" t="str">
            <v>BEOC</v>
          </cell>
          <cell r="D22">
            <v>1.7789999999999999</v>
          </cell>
        </row>
        <row r="23">
          <cell r="C23" t="str">
            <v>BEPA</v>
          </cell>
          <cell r="D23">
            <v>1.698</v>
          </cell>
        </row>
        <row r="24">
          <cell r="C24" t="str">
            <v>BEPE</v>
          </cell>
          <cell r="D24">
            <v>1.7653333333333301</v>
          </cell>
        </row>
        <row r="25">
          <cell r="C25" t="str">
            <v>CABE</v>
          </cell>
          <cell r="D25">
            <v>0.46437499999999998</v>
          </cell>
        </row>
        <row r="26">
          <cell r="C26" t="str">
            <v>CADE</v>
          </cell>
          <cell r="D26">
            <v>-0.61866666666666703</v>
          </cell>
        </row>
        <row r="27">
          <cell r="C27" t="str">
            <v>CEAT</v>
          </cell>
          <cell r="D27">
            <v>0.42899999999999999</v>
          </cell>
        </row>
        <row r="28">
          <cell r="C28" t="str">
            <v>CEBE</v>
          </cell>
          <cell r="D28">
            <v>2.3969999999999998</v>
          </cell>
        </row>
        <row r="29">
          <cell r="C29" t="str">
            <v>CHLA</v>
          </cell>
          <cell r="D29">
            <v>0.85199999999999998</v>
          </cell>
        </row>
        <row r="30">
          <cell r="C30" t="str">
            <v>CUSE</v>
          </cell>
          <cell r="D30">
            <v>22.785</v>
          </cell>
        </row>
        <row r="31">
          <cell r="C31" t="str">
            <v>EUCA</v>
          </cell>
          <cell r="D31">
            <v>3.6579999999999999</v>
          </cell>
        </row>
        <row r="32">
          <cell r="C32" t="str">
            <v>EUGL</v>
          </cell>
          <cell r="D32">
            <v>3.2810000000000001</v>
          </cell>
        </row>
        <row r="33">
          <cell r="C33" t="str">
            <v>FASY</v>
          </cell>
          <cell r="D33">
            <v>1.0786249999999999</v>
          </cell>
        </row>
        <row r="34">
          <cell r="C34" t="str">
            <v>FRAL</v>
          </cell>
          <cell r="D34">
            <v>3.0874999999999999</v>
          </cell>
        </row>
        <row r="35">
          <cell r="C35" t="str">
            <v>FRAM</v>
          </cell>
          <cell r="D35">
            <v>-0.55800000000000005</v>
          </cell>
        </row>
        <row r="36">
          <cell r="C36" t="str">
            <v>FREX</v>
          </cell>
          <cell r="D36">
            <v>2.9874999999999998</v>
          </cell>
        </row>
        <row r="37">
          <cell r="C37" t="str">
            <v>FROR</v>
          </cell>
          <cell r="D37">
            <v>4.6894999999999998</v>
          </cell>
        </row>
        <row r="38">
          <cell r="C38" t="str">
            <v>JUCA</v>
          </cell>
          <cell r="D38">
            <v>-1.9530000000000001</v>
          </cell>
        </row>
        <row r="39">
          <cell r="C39" t="str">
            <v>JUCO</v>
          </cell>
          <cell r="D39">
            <v>0.558071428571429</v>
          </cell>
        </row>
        <row r="40">
          <cell r="C40" t="str">
            <v>JUDE</v>
          </cell>
          <cell r="D40">
            <v>3.1970000000000001</v>
          </cell>
        </row>
        <row r="41">
          <cell r="C41" t="str">
            <v>JUOC</v>
          </cell>
          <cell r="D41">
            <v>-2.84</v>
          </cell>
        </row>
        <row r="42">
          <cell r="C42" t="str">
            <v>JUOS</v>
          </cell>
          <cell r="D42">
            <v>-1.748</v>
          </cell>
        </row>
        <row r="43">
          <cell r="C43" t="str">
            <v>JUOX</v>
          </cell>
          <cell r="D43">
            <v>0.14299999999999999</v>
          </cell>
        </row>
        <row r="44">
          <cell r="C44" t="str">
            <v>JURE</v>
          </cell>
          <cell r="D44">
            <v>2.3075000000000001</v>
          </cell>
        </row>
        <row r="45">
          <cell r="C45" t="str">
            <v>JUSA</v>
          </cell>
          <cell r="D45">
            <v>5.7859999999999996</v>
          </cell>
        </row>
        <row r="46">
          <cell r="C46" t="str">
            <v>LADE</v>
          </cell>
          <cell r="D46">
            <v>0.55900000000000005</v>
          </cell>
        </row>
        <row r="47">
          <cell r="C47" t="str">
            <v>LANO</v>
          </cell>
          <cell r="D47">
            <v>1.159</v>
          </cell>
        </row>
        <row r="48">
          <cell r="C48" t="str">
            <v>LIVU</v>
          </cell>
          <cell r="D48">
            <v>2.601</v>
          </cell>
        </row>
        <row r="49">
          <cell r="C49" t="str">
            <v>MALA</v>
          </cell>
          <cell r="D49">
            <v>-0.50900000000000001</v>
          </cell>
        </row>
        <row r="50">
          <cell r="C50" t="str">
            <v>MOAL</v>
          </cell>
          <cell r="D50">
            <v>6.9130000000000003</v>
          </cell>
        </row>
        <row r="51">
          <cell r="C51" t="str">
            <v>PAMI</v>
          </cell>
          <cell r="D51">
            <v>0.436</v>
          </cell>
        </row>
        <row r="52">
          <cell r="C52" t="str">
            <v>PAMY</v>
          </cell>
          <cell r="D52">
            <v>-1.4610000000000001</v>
          </cell>
        </row>
        <row r="53">
          <cell r="C53" t="str">
            <v>PIAB</v>
          </cell>
          <cell r="D53">
            <v>1.5645</v>
          </cell>
        </row>
        <row r="54">
          <cell r="C54" t="str">
            <v>PIAL</v>
          </cell>
          <cell r="D54">
            <v>-2.952</v>
          </cell>
        </row>
        <row r="55">
          <cell r="C55" t="str">
            <v>PICE</v>
          </cell>
          <cell r="D55">
            <v>2.2909999999999999</v>
          </cell>
        </row>
        <row r="56">
          <cell r="C56" t="str">
            <v>PICO</v>
          </cell>
          <cell r="D56">
            <v>1.0878000000000001</v>
          </cell>
        </row>
        <row r="57">
          <cell r="C57" t="str">
            <v>PIFL</v>
          </cell>
          <cell r="D57">
            <v>1.0669999999999999</v>
          </cell>
        </row>
        <row r="58">
          <cell r="C58" t="str">
            <v>PIGL</v>
          </cell>
          <cell r="D58">
            <v>1.6806666666666701</v>
          </cell>
        </row>
        <row r="59">
          <cell r="C59" t="str">
            <v>PIHA</v>
          </cell>
          <cell r="D59">
            <v>-0.5</v>
          </cell>
        </row>
        <row r="60">
          <cell r="C60" t="str">
            <v>PIMO</v>
          </cell>
          <cell r="D60">
            <v>4.0140000000000002</v>
          </cell>
        </row>
        <row r="61">
          <cell r="C61" t="str">
            <v>PINI</v>
          </cell>
          <cell r="D61">
            <v>-2.4666666666666699</v>
          </cell>
        </row>
        <row r="62">
          <cell r="C62" t="str">
            <v>PIPI</v>
          </cell>
          <cell r="D62">
            <v>0.64300000000000002</v>
          </cell>
        </row>
        <row r="63">
          <cell r="C63" t="str">
            <v>PIPO</v>
          </cell>
          <cell r="D63">
            <v>0.52500000000000002</v>
          </cell>
        </row>
        <row r="64">
          <cell r="C64" t="str">
            <v>PIRU</v>
          </cell>
          <cell r="D64">
            <v>7.0000000000000007E-2</v>
          </cell>
        </row>
        <row r="65">
          <cell r="C65" t="str">
            <v>PISY</v>
          </cell>
          <cell r="D65">
            <v>0.92379999999999995</v>
          </cell>
        </row>
        <row r="66">
          <cell r="C66" t="str">
            <v>PITE</v>
          </cell>
          <cell r="D66">
            <v>0.8175</v>
          </cell>
        </row>
        <row r="67">
          <cell r="C67" t="str">
            <v>PLRA</v>
          </cell>
          <cell r="D67">
            <v>-1.4</v>
          </cell>
        </row>
        <row r="68">
          <cell r="C68" t="str">
            <v>POAL</v>
          </cell>
          <cell r="D68">
            <v>12.058</v>
          </cell>
        </row>
        <row r="69">
          <cell r="C69" t="str">
            <v>POFR</v>
          </cell>
          <cell r="D69">
            <v>2.476</v>
          </cell>
        </row>
        <row r="70">
          <cell r="C70" t="str">
            <v>PONI</v>
          </cell>
          <cell r="D70">
            <v>1.4339999999999999</v>
          </cell>
        </row>
        <row r="71">
          <cell r="C71" t="str">
            <v>POTR</v>
          </cell>
          <cell r="D71">
            <v>6.8468</v>
          </cell>
        </row>
        <row r="72">
          <cell r="C72" t="str">
            <v>POTR</v>
          </cell>
          <cell r="D72">
            <v>4.3140000000000001</v>
          </cell>
        </row>
        <row r="73">
          <cell r="C73" t="str">
            <v>POTR</v>
          </cell>
          <cell r="D73">
            <v>5.5179999999999998</v>
          </cell>
        </row>
        <row r="74">
          <cell r="C74" t="str">
            <v>PRAV</v>
          </cell>
          <cell r="D74">
            <v>2.0289999999999999</v>
          </cell>
        </row>
        <row r="75">
          <cell r="C75" t="str">
            <v>PRIL</v>
          </cell>
          <cell r="D75">
            <v>-0.96833333333333305</v>
          </cell>
        </row>
        <row r="76">
          <cell r="C76" t="str">
            <v>PRMA</v>
          </cell>
          <cell r="D76">
            <v>2.4996666666666698</v>
          </cell>
        </row>
        <row r="77">
          <cell r="C77" t="str">
            <v>PRPE</v>
          </cell>
          <cell r="D77">
            <v>0.42899999999999999</v>
          </cell>
        </row>
        <row r="78">
          <cell r="C78" t="str">
            <v>PRSE</v>
          </cell>
          <cell r="D78">
            <v>1.349</v>
          </cell>
        </row>
        <row r="79">
          <cell r="C79" t="str">
            <v>PRSP</v>
          </cell>
          <cell r="D79">
            <v>1.637</v>
          </cell>
        </row>
        <row r="80">
          <cell r="C80" t="str">
            <v>PRVI</v>
          </cell>
          <cell r="D80">
            <v>3.5910000000000002</v>
          </cell>
        </row>
        <row r="81">
          <cell r="C81" t="str">
            <v>PSME</v>
          </cell>
          <cell r="D81">
            <v>0.78533333333333299</v>
          </cell>
        </row>
        <row r="82">
          <cell r="C82" t="str">
            <v>QUAG</v>
          </cell>
          <cell r="D82">
            <v>-1.38</v>
          </cell>
        </row>
        <row r="83">
          <cell r="C83" t="str">
            <v>QUBE</v>
          </cell>
          <cell r="D83">
            <v>4.5185000000000004</v>
          </cell>
        </row>
        <row r="84">
          <cell r="C84" t="str">
            <v>QUCO</v>
          </cell>
          <cell r="D84">
            <v>-4.1429999999999998</v>
          </cell>
        </row>
        <row r="85">
          <cell r="C85" t="str">
            <v>QUGA</v>
          </cell>
          <cell r="D85">
            <v>0.65180000000000005</v>
          </cell>
        </row>
        <row r="86">
          <cell r="C86" t="str">
            <v>QUGA</v>
          </cell>
          <cell r="D86">
            <v>2.5754999999999999</v>
          </cell>
        </row>
        <row r="87">
          <cell r="C87" t="str">
            <v>QUIL</v>
          </cell>
          <cell r="D87">
            <v>1.09728571428571</v>
          </cell>
        </row>
        <row r="88">
          <cell r="C88" t="str">
            <v>QUPE</v>
          </cell>
          <cell r="D88">
            <v>2.40627272727273</v>
          </cell>
        </row>
        <row r="89">
          <cell r="C89" t="str">
            <v>QUPU</v>
          </cell>
          <cell r="D89">
            <v>0.76639999999999997</v>
          </cell>
        </row>
        <row r="90">
          <cell r="C90" t="str">
            <v>QURO</v>
          </cell>
          <cell r="D90">
            <v>-0.94850000000000001</v>
          </cell>
        </row>
        <row r="91">
          <cell r="C91" t="str">
            <v>QUSU</v>
          </cell>
          <cell r="D91">
            <v>-1.5</v>
          </cell>
        </row>
        <row r="92">
          <cell r="C92" t="str">
            <v>QUTU</v>
          </cell>
          <cell r="D92">
            <v>1.1819999999999999</v>
          </cell>
        </row>
        <row r="93">
          <cell r="C93" t="str">
            <v>QUWI</v>
          </cell>
          <cell r="D93">
            <v>-1.2253333333333301</v>
          </cell>
        </row>
        <row r="94">
          <cell r="C94" t="str">
            <v>RULE</v>
          </cell>
          <cell r="D94">
            <v>0.88200000000000001</v>
          </cell>
        </row>
        <row r="95">
          <cell r="C95" t="str">
            <v>RUPA</v>
          </cell>
          <cell r="D95">
            <v>1.962</v>
          </cell>
        </row>
        <row r="96">
          <cell r="C96" t="str">
            <v>SAVI</v>
          </cell>
          <cell r="D96">
            <v>16.119</v>
          </cell>
        </row>
        <row r="97">
          <cell r="C97" t="str">
            <v>SCMO</v>
          </cell>
          <cell r="D97">
            <v>0.66200000000000003</v>
          </cell>
        </row>
        <row r="98">
          <cell r="C98" t="str">
            <v>SEGI</v>
          </cell>
          <cell r="D98">
            <v>-6.3E-2</v>
          </cell>
        </row>
        <row r="99">
          <cell r="C99" t="str">
            <v>SESE</v>
          </cell>
          <cell r="D99">
            <v>0.76200000000000001</v>
          </cell>
        </row>
        <row r="100">
          <cell r="C100" t="str">
            <v>TARA</v>
          </cell>
          <cell r="D100">
            <v>4.2569999999999997</v>
          </cell>
        </row>
        <row r="101">
          <cell r="C101" t="str">
            <v>TICO</v>
          </cell>
          <cell r="D101">
            <v>0.73550000000000004</v>
          </cell>
        </row>
        <row r="102">
          <cell r="C102" t="str">
            <v>TIPL</v>
          </cell>
          <cell r="D102">
            <v>9.202</v>
          </cell>
        </row>
        <row r="103">
          <cell r="C103" t="str">
            <v>TSHE</v>
          </cell>
          <cell r="D103">
            <v>-3.3660000000000001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9"/>
  <sheetViews>
    <sheetView tabSelected="1" workbookViewId="0">
      <selection activeCell="B2" sqref="B2:L109"/>
    </sheetView>
  </sheetViews>
  <sheetFormatPr defaultRowHeight="13.9" x14ac:dyDescent="0.4"/>
  <sheetData>
    <row r="2" spans="2:12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9</v>
      </c>
      <c r="L2" s="1" t="s">
        <v>10</v>
      </c>
    </row>
    <row r="3" spans="2:12" x14ac:dyDescent="0.4">
      <c r="B3" s="1">
        <v>-3.85025</v>
      </c>
      <c r="C3" s="1">
        <v>25</v>
      </c>
      <c r="D3" s="1">
        <v>52.5</v>
      </c>
      <c r="E3" s="1">
        <v>1.2995049999999999</v>
      </c>
      <c r="F3" s="1"/>
      <c r="G3" s="1"/>
      <c r="H3" s="1">
        <v>-4</v>
      </c>
      <c r="I3" s="3">
        <v>-2.7</v>
      </c>
      <c r="J3" s="1">
        <v>1.7</v>
      </c>
      <c r="K3" s="1">
        <v>0.47990545000000001</v>
      </c>
      <c r="L3" s="1">
        <v>17.18093</v>
      </c>
    </row>
    <row r="4" spans="2:12" x14ac:dyDescent="0.4">
      <c r="B4" s="1">
        <v>-2.0341665</v>
      </c>
      <c r="C4" s="1">
        <v>2.25</v>
      </c>
      <c r="D4" s="1">
        <v>20</v>
      </c>
      <c r="E4" s="1">
        <v>1.6908131</v>
      </c>
      <c r="F4" s="1">
        <v>2.6619999999999999</v>
      </c>
      <c r="G4" s="1"/>
      <c r="H4" s="1"/>
      <c r="I4" s="3">
        <v>-1.52</v>
      </c>
      <c r="J4" s="1">
        <v>0.115775</v>
      </c>
      <c r="K4" s="1">
        <v>0.44678580000000001</v>
      </c>
      <c r="L4" s="1">
        <v>27.449294999999999</v>
      </c>
    </row>
    <row r="5" spans="2:12" x14ac:dyDescent="0.4">
      <c r="B5" s="1">
        <v>-5.5943333333333296</v>
      </c>
      <c r="C5" s="1"/>
      <c r="D5" s="1">
        <v>60</v>
      </c>
      <c r="E5" s="1">
        <v>0.87686850000000005</v>
      </c>
      <c r="F5" s="1"/>
      <c r="G5" s="1"/>
      <c r="H5" s="1"/>
      <c r="I5" s="2">
        <v>-3.25</v>
      </c>
      <c r="J5" s="1"/>
      <c r="K5" s="1"/>
      <c r="L5" s="1"/>
    </row>
    <row r="6" spans="2:12" x14ac:dyDescent="0.4">
      <c r="B6" s="1">
        <v>-3.6509999999999998</v>
      </c>
      <c r="C6" s="1">
        <v>35</v>
      </c>
      <c r="D6" s="1">
        <v>70</v>
      </c>
      <c r="E6" s="1"/>
      <c r="F6" s="1"/>
      <c r="G6" s="1"/>
      <c r="H6" s="1">
        <v>-2.5</v>
      </c>
      <c r="I6" s="2">
        <v>-2.4</v>
      </c>
      <c r="J6" s="1"/>
      <c r="K6" s="1">
        <v>0.47129890000000002</v>
      </c>
      <c r="L6" s="1">
        <v>18.469100000000001</v>
      </c>
    </row>
    <row r="7" spans="2:12" x14ac:dyDescent="0.4">
      <c r="B7" s="1">
        <v>-3.8685</v>
      </c>
      <c r="C7" s="1">
        <v>10</v>
      </c>
      <c r="D7" s="1">
        <v>25</v>
      </c>
      <c r="E7" s="1">
        <v>0.43</v>
      </c>
      <c r="F7" s="1"/>
      <c r="G7" s="1"/>
      <c r="H7" s="1"/>
      <c r="I7" s="2">
        <v>-1.9</v>
      </c>
      <c r="J7" s="1"/>
      <c r="K7" s="1">
        <v>0.5436377</v>
      </c>
      <c r="L7" s="1"/>
    </row>
    <row r="8" spans="2:12" x14ac:dyDescent="0.4">
      <c r="B8" s="1"/>
      <c r="C8" s="1">
        <v>8</v>
      </c>
      <c r="D8" s="1">
        <v>30</v>
      </c>
      <c r="E8" s="1">
        <v>2.6949999999999998</v>
      </c>
      <c r="F8" s="1">
        <v>1.7819</v>
      </c>
      <c r="G8" s="1">
        <v>-0.44</v>
      </c>
      <c r="H8" s="1">
        <v>-1.1399999999999999</v>
      </c>
      <c r="I8" s="2">
        <v>-2.3199999999999998</v>
      </c>
      <c r="J8" s="1">
        <v>1.22</v>
      </c>
      <c r="K8" s="1">
        <v>0.56000000000000005</v>
      </c>
      <c r="L8" s="1">
        <v>36.308214999999997</v>
      </c>
    </row>
    <row r="9" spans="2:12" x14ac:dyDescent="0.4">
      <c r="B9" s="1">
        <v>-2.5333329999999998</v>
      </c>
      <c r="C9" s="1">
        <v>7</v>
      </c>
      <c r="D9" s="1">
        <v>10</v>
      </c>
      <c r="E9" s="1">
        <v>1.1666669999999999</v>
      </c>
      <c r="F9" s="1"/>
      <c r="G9" s="1"/>
      <c r="H9" s="1"/>
      <c r="I9" s="2">
        <v>-2.46</v>
      </c>
      <c r="J9" s="1"/>
      <c r="K9" s="1">
        <v>0.53200000000000003</v>
      </c>
      <c r="L9" s="1">
        <v>23.8</v>
      </c>
    </row>
    <row r="10" spans="2:12" x14ac:dyDescent="0.4">
      <c r="B10" s="1">
        <v>-4.5316666666666698</v>
      </c>
      <c r="C10" s="1">
        <v>8.3333333333333304</v>
      </c>
      <c r="D10" s="1">
        <v>20</v>
      </c>
      <c r="E10" s="1">
        <v>0.44692145</v>
      </c>
      <c r="F10" s="1">
        <v>1.4573400000000001</v>
      </c>
      <c r="G10" s="1">
        <v>-4.55</v>
      </c>
      <c r="H10" s="1">
        <v>-5.5</v>
      </c>
      <c r="I10" s="2"/>
      <c r="J10" s="1">
        <v>0.34</v>
      </c>
      <c r="K10" s="1">
        <v>0.61481269999999999</v>
      </c>
      <c r="L10" s="1">
        <v>35.926110000000001</v>
      </c>
    </row>
    <row r="11" spans="2:12" x14ac:dyDescent="0.4">
      <c r="B11" s="1">
        <v>-1.70783333333333</v>
      </c>
      <c r="C11" s="1">
        <v>10.266666000000001</v>
      </c>
      <c r="D11" s="1">
        <v>25</v>
      </c>
      <c r="E11" s="1">
        <v>5.1760971666666702</v>
      </c>
      <c r="F11" s="1">
        <v>7.8</v>
      </c>
      <c r="G11" s="1">
        <v>-0.33</v>
      </c>
      <c r="H11" s="1">
        <v>-1.1200000000000001</v>
      </c>
      <c r="I11" s="4"/>
      <c r="J11" s="1">
        <v>0.80600000000000005</v>
      </c>
      <c r="K11" s="1">
        <v>0.61566666666666703</v>
      </c>
      <c r="L11" s="1">
        <v>32.266666666666701</v>
      </c>
    </row>
    <row r="12" spans="2:12" x14ac:dyDescent="0.4">
      <c r="B12" s="1">
        <v>-3.4224999999999999</v>
      </c>
      <c r="C12" s="1">
        <v>7.5</v>
      </c>
      <c r="D12" s="1">
        <v>20</v>
      </c>
      <c r="E12" s="1">
        <v>0.18</v>
      </c>
      <c r="F12" s="1"/>
      <c r="G12" s="1"/>
      <c r="H12" s="1"/>
      <c r="I12" s="2"/>
      <c r="J12" s="1"/>
      <c r="K12" s="1">
        <v>0.52757670000000001</v>
      </c>
      <c r="L12" s="1"/>
    </row>
    <row r="13" spans="2:12" x14ac:dyDescent="0.4">
      <c r="B13" s="1">
        <v>-3.0179999999999998</v>
      </c>
      <c r="C13" s="1">
        <v>12.5</v>
      </c>
      <c r="D13" s="1">
        <v>30</v>
      </c>
      <c r="E13" s="1">
        <v>0.89500000000000002</v>
      </c>
      <c r="F13" s="1"/>
      <c r="G13" s="1"/>
      <c r="H13" s="1"/>
      <c r="I13" s="2"/>
      <c r="J13" s="1"/>
      <c r="K13" s="1">
        <v>0.48922735000000001</v>
      </c>
      <c r="L13" s="1">
        <v>28</v>
      </c>
    </row>
    <row r="14" spans="2:12" x14ac:dyDescent="0.4">
      <c r="B14" s="1">
        <v>-2.5154999999999998</v>
      </c>
      <c r="C14" s="1">
        <v>12.5</v>
      </c>
      <c r="D14" s="1">
        <v>35</v>
      </c>
      <c r="E14" s="1">
        <v>0.85499999999999998</v>
      </c>
      <c r="F14" s="1"/>
      <c r="G14" s="1"/>
      <c r="H14" s="1"/>
      <c r="I14" s="2">
        <v>-1.75</v>
      </c>
      <c r="J14" s="1"/>
      <c r="K14" s="1">
        <v>0.41930535000000002</v>
      </c>
      <c r="L14" s="1">
        <v>33.9</v>
      </c>
    </row>
    <row r="15" spans="2:12" x14ac:dyDescent="0.4">
      <c r="B15" s="1">
        <v>-3.016</v>
      </c>
      <c r="C15" s="1">
        <v>17.5</v>
      </c>
      <c r="D15" s="1">
        <v>25</v>
      </c>
      <c r="E15" s="1">
        <v>2.34</v>
      </c>
      <c r="F15" s="1">
        <v>2.85</v>
      </c>
      <c r="G15" s="1">
        <v>-0.1105</v>
      </c>
      <c r="H15" s="1">
        <v>-1.0716666666666701</v>
      </c>
      <c r="I15" s="2">
        <v>-1.52</v>
      </c>
      <c r="J15" s="1">
        <v>0.65600000000000003</v>
      </c>
      <c r="K15" s="1">
        <v>0.65181199999999995</v>
      </c>
      <c r="L15" s="1">
        <v>26.333815000000001</v>
      </c>
    </row>
    <row r="16" spans="2:12" x14ac:dyDescent="0.4">
      <c r="B16" s="1">
        <v>-2.3612082499999998</v>
      </c>
      <c r="C16" s="1">
        <v>1.2</v>
      </c>
      <c r="D16" s="1">
        <v>35</v>
      </c>
      <c r="E16" s="1">
        <v>4.0250000000000004</v>
      </c>
      <c r="F16" s="1">
        <v>5.2649999999999997</v>
      </c>
      <c r="G16" s="1"/>
      <c r="H16" s="1"/>
      <c r="I16" s="2"/>
      <c r="J16" s="1">
        <v>0.73650000000000004</v>
      </c>
      <c r="K16" s="1">
        <v>0.72299999999999998</v>
      </c>
      <c r="L16" s="1">
        <v>44.283333333333303</v>
      </c>
    </row>
    <row r="17" spans="2:12" x14ac:dyDescent="0.4">
      <c r="B17" s="1">
        <v>-7.9557500000000001</v>
      </c>
      <c r="C17" s="1">
        <v>2.1333333333333302</v>
      </c>
      <c r="D17" s="1">
        <v>4</v>
      </c>
      <c r="E17" s="1">
        <v>0.70750000000000002</v>
      </c>
      <c r="F17" s="1"/>
      <c r="G17" s="1">
        <v>-2.4180000000000001</v>
      </c>
      <c r="H17" s="1">
        <v>-5.5362917500000002</v>
      </c>
      <c r="I17" s="2"/>
      <c r="J17" s="1">
        <v>9.5505599999999996E-2</v>
      </c>
      <c r="K17" s="1">
        <v>0.73382000000000003</v>
      </c>
      <c r="L17" s="1">
        <v>26.147923333333299</v>
      </c>
    </row>
    <row r="18" spans="2:12" x14ac:dyDescent="0.4">
      <c r="B18" s="1">
        <v>-4.6807499999999997</v>
      </c>
      <c r="C18" s="1">
        <v>5.4</v>
      </c>
      <c r="D18" s="1">
        <v>8</v>
      </c>
      <c r="E18" s="1">
        <v>1.63</v>
      </c>
      <c r="F18" s="1"/>
      <c r="G18" s="1"/>
      <c r="H18" s="1">
        <v>-3.73555566666667</v>
      </c>
      <c r="I18" s="2"/>
      <c r="J18" s="1"/>
      <c r="K18" s="1">
        <v>0.63476666666666703</v>
      </c>
      <c r="L18" s="1">
        <v>29.036000000000001</v>
      </c>
    </row>
    <row r="19" spans="2:12" x14ac:dyDescent="0.4">
      <c r="B19" s="1">
        <v>-1.1399999999999999</v>
      </c>
      <c r="C19" s="1"/>
      <c r="D19" s="1">
        <v>20</v>
      </c>
      <c r="E19" s="1">
        <v>0.6</v>
      </c>
      <c r="F19" s="1"/>
      <c r="G19" s="1"/>
      <c r="H19" s="1"/>
      <c r="I19" s="2"/>
      <c r="J19" s="1"/>
      <c r="K19" s="1">
        <v>0.25</v>
      </c>
      <c r="L19" s="1"/>
    </row>
    <row r="20" spans="2:12" x14ac:dyDescent="0.4">
      <c r="B20" s="1">
        <v>-1.7390000000000001</v>
      </c>
      <c r="C20" s="1">
        <v>18</v>
      </c>
      <c r="D20" s="1">
        <v>30</v>
      </c>
      <c r="E20" s="1"/>
      <c r="F20" s="1"/>
      <c r="G20" s="1"/>
      <c r="H20" s="1">
        <v>-1.2</v>
      </c>
      <c r="I20" s="2"/>
      <c r="J20" s="1"/>
      <c r="K20" s="1"/>
      <c r="L20" s="1"/>
    </row>
    <row r="21" spans="2:12" x14ac:dyDescent="0.4">
      <c r="B21" s="1">
        <v>-1.437667</v>
      </c>
      <c r="C21" s="1">
        <v>21</v>
      </c>
      <c r="D21" s="1">
        <v>21.66667</v>
      </c>
      <c r="E21" s="1"/>
      <c r="F21" s="1"/>
      <c r="G21" s="1"/>
      <c r="H21" s="1"/>
      <c r="I21" s="2"/>
      <c r="J21" s="1"/>
      <c r="K21" s="1"/>
      <c r="L21" s="1"/>
    </row>
    <row r="22" spans="2:12" x14ac:dyDescent="0.4">
      <c r="B22" s="1">
        <v>-1.2509999999999999</v>
      </c>
      <c r="C22" s="1"/>
      <c r="D22" s="1">
        <v>35</v>
      </c>
      <c r="E22" s="1">
        <v>7.48</v>
      </c>
      <c r="F22" s="1"/>
      <c r="G22" s="1">
        <v>-0.25</v>
      </c>
      <c r="H22" s="1">
        <v>-0.83</v>
      </c>
      <c r="I22" s="2"/>
      <c r="J22" s="1"/>
      <c r="K22" s="1">
        <v>0.42199999999999999</v>
      </c>
      <c r="L22" s="1"/>
    </row>
    <row r="23" spans="2:12" x14ac:dyDescent="0.4">
      <c r="B23" s="1">
        <v>-2.54</v>
      </c>
      <c r="C23" s="1"/>
      <c r="D23" s="1">
        <v>30</v>
      </c>
      <c r="E23" s="1"/>
      <c r="F23" s="1">
        <v>1.4219999999999999</v>
      </c>
      <c r="G23" s="1"/>
      <c r="H23" s="1"/>
      <c r="I23" s="2"/>
      <c r="J23" s="1"/>
      <c r="K23" s="1"/>
      <c r="L23" s="1"/>
    </row>
    <row r="24" spans="2:12" x14ac:dyDescent="0.4">
      <c r="B24" s="1">
        <v>-1.7359629999999999</v>
      </c>
      <c r="C24" s="1">
        <v>12</v>
      </c>
      <c r="D24" s="1">
        <v>10.6666666666667</v>
      </c>
      <c r="E24" s="1">
        <v>1.82114</v>
      </c>
      <c r="F24" s="1"/>
      <c r="G24" s="1">
        <v>-0.25</v>
      </c>
      <c r="H24" s="1">
        <v>-1.3</v>
      </c>
      <c r="I24" s="2"/>
      <c r="J24" s="1"/>
      <c r="K24" s="1"/>
      <c r="L24" s="1"/>
    </row>
    <row r="25" spans="2:12" x14ac:dyDescent="0.4">
      <c r="B25" s="1">
        <v>-1.9664999999999999</v>
      </c>
      <c r="C25" s="1"/>
      <c r="D25" s="1">
        <v>18</v>
      </c>
      <c r="E25" s="1">
        <v>1.5378149999999999</v>
      </c>
      <c r="F25" s="1">
        <v>1.6947000000000001</v>
      </c>
      <c r="G25" s="1"/>
      <c r="H25" s="1"/>
      <c r="I25" s="2">
        <v>-1.33</v>
      </c>
      <c r="J25" s="1">
        <v>0.47699999999999998</v>
      </c>
      <c r="K25" s="1"/>
      <c r="L25" s="1"/>
    </row>
    <row r="26" spans="2:12" x14ac:dyDescent="0.4">
      <c r="B26" s="1">
        <v>-2.23</v>
      </c>
      <c r="C26" s="1">
        <v>13.6666666666667</v>
      </c>
      <c r="D26" s="1">
        <v>25</v>
      </c>
      <c r="E26" s="1"/>
      <c r="F26" s="1"/>
      <c r="G26" s="1"/>
      <c r="H26" s="1">
        <v>-2.64</v>
      </c>
      <c r="I26" s="2"/>
      <c r="J26" s="1"/>
      <c r="K26" s="1"/>
      <c r="L26" s="1"/>
    </row>
    <row r="27" spans="2:12" x14ac:dyDescent="0.4">
      <c r="B27" s="1">
        <v>-3.75</v>
      </c>
      <c r="C27" s="1">
        <v>4</v>
      </c>
      <c r="D27" s="1">
        <v>30</v>
      </c>
      <c r="E27" s="1"/>
      <c r="F27" s="1"/>
      <c r="G27" s="1"/>
      <c r="H27" s="1"/>
      <c r="I27" s="2">
        <v>-2.33</v>
      </c>
      <c r="J27" s="1"/>
      <c r="K27" s="1"/>
      <c r="L27" s="1"/>
    </row>
    <row r="28" spans="2:12" x14ac:dyDescent="0.4">
      <c r="B28" s="1">
        <v>-7.7450000000000001</v>
      </c>
      <c r="C28" s="1"/>
      <c r="D28" s="1">
        <v>60</v>
      </c>
      <c r="E28" s="1">
        <v>1.34</v>
      </c>
      <c r="F28" s="1">
        <v>0.86306400000000005</v>
      </c>
      <c r="G28" s="1"/>
      <c r="H28" s="1"/>
      <c r="I28" s="3">
        <v>-2.73</v>
      </c>
      <c r="J28" s="1"/>
      <c r="K28" s="1">
        <v>0.54100000000000004</v>
      </c>
      <c r="L28" s="1">
        <v>13.94763</v>
      </c>
    </row>
    <row r="29" spans="2:12" x14ac:dyDescent="0.4">
      <c r="B29" s="1">
        <v>-4.7491666666666701</v>
      </c>
      <c r="C29" s="1">
        <v>15</v>
      </c>
      <c r="D29" s="1">
        <v>40</v>
      </c>
      <c r="E29" s="1">
        <v>0.88</v>
      </c>
      <c r="F29" s="1"/>
      <c r="G29" s="1"/>
      <c r="H29" s="1">
        <v>-3.4</v>
      </c>
      <c r="I29" s="3">
        <v>-2.96</v>
      </c>
      <c r="J29" s="1"/>
      <c r="K29" s="1">
        <v>0.50849630000000001</v>
      </c>
      <c r="L29" s="1">
        <v>14.69023</v>
      </c>
    </row>
    <row r="30" spans="2:12" x14ac:dyDescent="0.4">
      <c r="B30" s="1">
        <v>-5.1100000000000003</v>
      </c>
      <c r="C30" s="1"/>
      <c r="D30" s="1">
        <v>9.1</v>
      </c>
      <c r="E30" s="1">
        <v>2.04</v>
      </c>
      <c r="F30" s="1"/>
      <c r="G30" s="1"/>
      <c r="H30" s="1">
        <v>-6.8</v>
      </c>
      <c r="I30" s="2">
        <v>-2.59</v>
      </c>
      <c r="J30" s="1"/>
      <c r="K30" s="1">
        <v>0.7782</v>
      </c>
      <c r="L30" s="1">
        <v>45.85</v>
      </c>
    </row>
    <row r="31" spans="2:12" x14ac:dyDescent="0.4">
      <c r="B31" s="1">
        <v>-5.1680000000000001</v>
      </c>
      <c r="C31" s="1"/>
      <c r="D31" s="1">
        <v>60</v>
      </c>
      <c r="E31" s="1">
        <v>0.45</v>
      </c>
      <c r="F31" s="1">
        <v>0.45847900000000003</v>
      </c>
      <c r="G31" s="1"/>
      <c r="H31" s="1"/>
      <c r="I31" s="3"/>
      <c r="J31" s="1"/>
      <c r="K31" s="1">
        <v>0.60499999999999998</v>
      </c>
      <c r="L31" s="1">
        <v>12.11356</v>
      </c>
    </row>
    <row r="32" spans="2:12" x14ac:dyDescent="0.4">
      <c r="B32" s="1"/>
      <c r="C32" s="1">
        <v>15</v>
      </c>
      <c r="D32" s="1">
        <v>35</v>
      </c>
      <c r="E32" s="1"/>
      <c r="F32" s="1"/>
      <c r="G32" s="1"/>
      <c r="H32" s="1">
        <v>-5.4</v>
      </c>
      <c r="I32" s="2"/>
      <c r="J32" s="1"/>
      <c r="K32" s="1">
        <v>0.63389150000000005</v>
      </c>
      <c r="L32" s="1">
        <v>12.6461805</v>
      </c>
    </row>
    <row r="33" spans="2:12" x14ac:dyDescent="0.4">
      <c r="B33" s="1">
        <v>-4.2166666666666703</v>
      </c>
      <c r="C33" s="1"/>
      <c r="D33" s="1">
        <v>38.3333333333333</v>
      </c>
      <c r="E33" s="1">
        <v>3.6</v>
      </c>
      <c r="F33" s="1"/>
      <c r="G33" s="1"/>
      <c r="H33" s="1"/>
      <c r="I33" s="2">
        <v>-2.0099999999999998</v>
      </c>
      <c r="J33" s="1"/>
      <c r="K33" s="1">
        <v>0.5</v>
      </c>
      <c r="L33" s="1"/>
    </row>
    <row r="34" spans="2:12" x14ac:dyDescent="0.4">
      <c r="B34" s="1">
        <v>-1.1000000000000001</v>
      </c>
      <c r="C34" s="1">
        <v>0.5</v>
      </c>
      <c r="D34" s="1">
        <v>90</v>
      </c>
      <c r="E34" s="1">
        <v>3.95</v>
      </c>
      <c r="F34" s="1"/>
      <c r="G34" s="1"/>
      <c r="H34" s="1"/>
      <c r="I34" s="2">
        <v>-1.64</v>
      </c>
      <c r="J34" s="1"/>
      <c r="K34" s="1"/>
      <c r="L34" s="1"/>
    </row>
    <row r="35" spans="2:12" x14ac:dyDescent="0.4">
      <c r="B35" s="1">
        <v>-3.0833333333333299</v>
      </c>
      <c r="C35" s="1">
        <v>22.5</v>
      </c>
      <c r="D35" s="1">
        <v>50</v>
      </c>
      <c r="E35" s="1">
        <v>1.83</v>
      </c>
      <c r="F35" s="1">
        <v>7.2</v>
      </c>
      <c r="G35" s="1"/>
      <c r="H35" s="1">
        <v>-2.2133333333333298</v>
      </c>
      <c r="I35" s="2">
        <v>-2.17</v>
      </c>
      <c r="J35" s="1"/>
      <c r="K35" s="1">
        <v>0.42167090000000002</v>
      </c>
      <c r="L35" s="1">
        <v>23.4</v>
      </c>
    </row>
    <row r="36" spans="2:12" x14ac:dyDescent="0.4">
      <c r="B36" s="1">
        <v>-2.9239999999999999</v>
      </c>
      <c r="C36" s="1">
        <v>4</v>
      </c>
      <c r="D36" s="1">
        <v>6</v>
      </c>
      <c r="E36" s="1"/>
      <c r="F36" s="1"/>
      <c r="G36" s="1"/>
      <c r="H36" s="1"/>
      <c r="I36" s="2"/>
      <c r="J36" s="1"/>
      <c r="K36" s="1">
        <v>0.42167090000000002</v>
      </c>
      <c r="L36" s="1">
        <v>52.324179999999998</v>
      </c>
    </row>
    <row r="37" spans="2:12" x14ac:dyDescent="0.4">
      <c r="B37" s="1">
        <v>-1.92</v>
      </c>
      <c r="C37" s="1">
        <v>15</v>
      </c>
      <c r="D37" s="1">
        <v>40</v>
      </c>
      <c r="E37" s="1"/>
      <c r="F37" s="1"/>
      <c r="G37" s="1"/>
      <c r="H37" s="1"/>
      <c r="I37" s="2"/>
      <c r="J37" s="1"/>
      <c r="K37" s="1"/>
      <c r="L37" s="1"/>
    </row>
    <row r="38" spans="2:12" x14ac:dyDescent="0.4">
      <c r="B38" s="1">
        <v>-2.8</v>
      </c>
      <c r="C38" s="1">
        <v>18</v>
      </c>
      <c r="D38" s="1">
        <v>43</v>
      </c>
      <c r="E38" s="1"/>
      <c r="F38" s="1">
        <v>1.08</v>
      </c>
      <c r="G38" s="1"/>
      <c r="H38" s="1">
        <v>-2.5</v>
      </c>
      <c r="I38" s="2">
        <v>-2.71</v>
      </c>
      <c r="J38" s="1"/>
      <c r="K38" s="1"/>
      <c r="L38" s="1">
        <v>25.5</v>
      </c>
    </row>
    <row r="39" spans="2:12" x14ac:dyDescent="0.4">
      <c r="B39" s="1">
        <v>-2.2000000000000002</v>
      </c>
      <c r="C39" s="1"/>
      <c r="D39" s="1">
        <v>25</v>
      </c>
      <c r="E39" s="1">
        <v>0.71</v>
      </c>
      <c r="F39" s="1"/>
      <c r="G39" s="1"/>
      <c r="H39" s="1"/>
      <c r="I39" s="2"/>
      <c r="J39" s="1"/>
      <c r="K39" s="1"/>
      <c r="L39" s="1"/>
    </row>
    <row r="40" spans="2:12" x14ac:dyDescent="0.4">
      <c r="B40" s="1">
        <v>-0.85</v>
      </c>
      <c r="C40" s="1"/>
      <c r="D40" s="1">
        <v>10</v>
      </c>
      <c r="E40" s="1">
        <v>3.21</v>
      </c>
      <c r="F40" s="1"/>
      <c r="G40" s="1">
        <v>-1.41</v>
      </c>
      <c r="H40" s="1">
        <v>-2.19</v>
      </c>
      <c r="I40" s="2"/>
      <c r="J40" s="1"/>
      <c r="K40" s="1"/>
      <c r="L40" s="1">
        <v>76.8</v>
      </c>
    </row>
    <row r="41" spans="2:12" x14ac:dyDescent="0.4">
      <c r="B41" s="1">
        <v>-10.365</v>
      </c>
      <c r="C41" s="1"/>
      <c r="D41" s="1">
        <v>10</v>
      </c>
      <c r="E41" s="1">
        <v>0.3</v>
      </c>
      <c r="F41" s="1">
        <v>0.66253300000000004</v>
      </c>
      <c r="G41" s="1"/>
      <c r="H41" s="1"/>
      <c r="I41" s="2"/>
      <c r="J41" s="1"/>
      <c r="K41" s="1">
        <v>0.82499999999999996</v>
      </c>
      <c r="L41" s="1">
        <v>10.327819999999999</v>
      </c>
    </row>
    <row r="42" spans="2:12" x14ac:dyDescent="0.4">
      <c r="B42" s="1">
        <v>-5.4852999999999996</v>
      </c>
      <c r="C42" s="1">
        <v>1.9333334</v>
      </c>
      <c r="D42" s="1">
        <v>16</v>
      </c>
      <c r="E42" s="1">
        <v>0.35350832500000001</v>
      </c>
      <c r="F42" s="1">
        <v>1.9666399999999999</v>
      </c>
      <c r="G42" s="1">
        <v>-2.2000000000000002</v>
      </c>
      <c r="H42" s="1">
        <v>-3.84</v>
      </c>
      <c r="I42" s="2">
        <v>-3.1</v>
      </c>
      <c r="J42" s="1">
        <v>0.22408334999999999</v>
      </c>
      <c r="K42" s="1">
        <v>0.60969196666666703</v>
      </c>
      <c r="L42" s="1">
        <v>11.74408</v>
      </c>
    </row>
    <row r="43" spans="2:12" x14ac:dyDescent="0.4">
      <c r="B43" s="1">
        <v>-8.3000000000000007</v>
      </c>
      <c r="C43" s="1">
        <v>15</v>
      </c>
      <c r="D43" s="1">
        <v>25</v>
      </c>
      <c r="E43" s="1">
        <v>0.23499999999999999</v>
      </c>
      <c r="F43" s="1">
        <v>2</v>
      </c>
      <c r="G43" s="1"/>
      <c r="H43" s="1"/>
      <c r="I43" s="2"/>
      <c r="J43" s="1">
        <v>0.13300000000000001</v>
      </c>
      <c r="K43" s="1">
        <v>0.54449999999999998</v>
      </c>
      <c r="L43" s="1">
        <v>9.0310249999999996</v>
      </c>
    </row>
    <row r="44" spans="2:12" x14ac:dyDescent="0.4">
      <c r="B44" s="1">
        <v>-9</v>
      </c>
      <c r="C44" s="1"/>
      <c r="D44" s="1">
        <v>26</v>
      </c>
      <c r="E44" s="1">
        <v>0.28000000000000003</v>
      </c>
      <c r="F44" s="1"/>
      <c r="G44" s="1"/>
      <c r="H44" s="1">
        <v>-3.5</v>
      </c>
      <c r="I44" s="2"/>
      <c r="J44" s="1"/>
      <c r="K44" s="1">
        <v>0.60099999999999998</v>
      </c>
      <c r="L44" s="1">
        <v>8.1085799999999999</v>
      </c>
    </row>
    <row r="45" spans="2:12" x14ac:dyDescent="0.4">
      <c r="B45" s="1">
        <v>-8.3786249999999995</v>
      </c>
      <c r="C45" s="1">
        <v>4.3333333333333304</v>
      </c>
      <c r="D45" s="1">
        <v>9</v>
      </c>
      <c r="E45" s="1">
        <v>0.4</v>
      </c>
      <c r="F45" s="1">
        <v>3</v>
      </c>
      <c r="G45" s="1">
        <v>-4.7249999999999996</v>
      </c>
      <c r="H45" s="1">
        <v>-4.7866666666666697</v>
      </c>
      <c r="I45" s="2"/>
      <c r="J45" s="1">
        <v>0.111</v>
      </c>
      <c r="K45" s="1">
        <v>0.61167539999999998</v>
      </c>
      <c r="L45" s="1">
        <v>9.1132307499999996</v>
      </c>
    </row>
    <row r="46" spans="2:12" x14ac:dyDescent="0.4">
      <c r="B46" s="1"/>
      <c r="C46" s="1">
        <v>3</v>
      </c>
      <c r="D46" s="1">
        <v>9</v>
      </c>
      <c r="E46" s="1">
        <v>0.32678269999999998</v>
      </c>
      <c r="F46" s="1">
        <v>0.99490900000000004</v>
      </c>
      <c r="G46" s="1">
        <v>-4.3</v>
      </c>
      <c r="H46" s="1">
        <v>-5.25</v>
      </c>
      <c r="I46" s="2"/>
      <c r="J46" s="1">
        <v>0.29799999999999999</v>
      </c>
      <c r="K46" s="1"/>
      <c r="L46" s="1">
        <v>9.2372259999999997</v>
      </c>
    </row>
    <row r="47" spans="2:12" x14ac:dyDescent="0.4">
      <c r="B47" s="1">
        <v>-2.0066670000000002</v>
      </c>
      <c r="C47" s="1">
        <v>4.6666670000000003</v>
      </c>
      <c r="D47" s="1">
        <v>35</v>
      </c>
      <c r="E47" s="1"/>
      <c r="F47" s="1"/>
      <c r="G47" s="1"/>
      <c r="H47" s="1">
        <v>-1.9</v>
      </c>
      <c r="I47" s="2"/>
      <c r="J47" s="1"/>
      <c r="K47" s="1"/>
      <c r="L47" s="1"/>
    </row>
    <row r="48" spans="2:12" x14ac:dyDescent="0.4">
      <c r="B48" s="1">
        <v>-4.25</v>
      </c>
      <c r="C48" s="1"/>
      <c r="D48" s="1">
        <v>4</v>
      </c>
      <c r="E48" s="1">
        <v>0.24</v>
      </c>
      <c r="F48" s="1"/>
      <c r="G48" s="1"/>
      <c r="H48" s="1"/>
      <c r="I48" s="2"/>
      <c r="J48" s="1"/>
      <c r="K48" s="1">
        <v>0.56999999999999995</v>
      </c>
      <c r="L48" s="1">
        <v>6.82</v>
      </c>
    </row>
    <row r="49" spans="2:12" x14ac:dyDescent="0.4">
      <c r="B49" s="1">
        <v>-3.7111666666666698</v>
      </c>
      <c r="C49" s="1">
        <v>13.3333333333333</v>
      </c>
      <c r="D49" s="1">
        <v>55</v>
      </c>
      <c r="E49" s="1">
        <v>0.434</v>
      </c>
      <c r="F49" s="1"/>
      <c r="G49" s="1"/>
      <c r="H49" s="1">
        <v>-2.7349999999999999</v>
      </c>
      <c r="I49" s="2">
        <v>-2.67</v>
      </c>
      <c r="J49" s="1"/>
      <c r="K49" s="1">
        <v>0.53759043333333301</v>
      </c>
      <c r="L49" s="1">
        <v>15.112296666666699</v>
      </c>
    </row>
    <row r="50" spans="2:12" x14ac:dyDescent="0.4">
      <c r="B50" s="1">
        <v>-2.2250000000000001</v>
      </c>
      <c r="C50" s="1">
        <v>1.4</v>
      </c>
      <c r="D50" s="1">
        <v>15</v>
      </c>
      <c r="E50" s="1">
        <v>1.1000000000000001</v>
      </c>
      <c r="F50" s="1">
        <v>2.8</v>
      </c>
      <c r="G50" s="1">
        <v>-0.7</v>
      </c>
      <c r="H50" s="1">
        <v>-1.8</v>
      </c>
      <c r="I50" s="2">
        <v>-2.78</v>
      </c>
      <c r="J50" s="1"/>
      <c r="K50" s="1">
        <v>0.4</v>
      </c>
      <c r="L50" s="1">
        <v>30</v>
      </c>
    </row>
    <row r="51" spans="2:12" x14ac:dyDescent="0.4">
      <c r="B51" s="1">
        <v>-5.24766666666667</v>
      </c>
      <c r="C51" s="1">
        <v>1.8333333333333299</v>
      </c>
      <c r="D51" s="1">
        <v>5</v>
      </c>
      <c r="E51" s="1">
        <v>0.91500000000000004</v>
      </c>
      <c r="F51" s="1"/>
      <c r="G51" s="1"/>
      <c r="H51" s="1"/>
      <c r="I51" s="2"/>
      <c r="J51" s="1"/>
      <c r="K51" s="1">
        <v>0.65643649999999998</v>
      </c>
      <c r="L51" s="1">
        <v>34.852676666666703</v>
      </c>
    </row>
    <row r="52" spans="2:12" x14ac:dyDescent="0.4">
      <c r="B52" s="1">
        <v>-1.005416675</v>
      </c>
      <c r="C52" s="1">
        <v>4.3333333333333304</v>
      </c>
      <c r="D52" s="1">
        <v>5.8</v>
      </c>
      <c r="E52" s="1">
        <v>5.7044443333333303</v>
      </c>
      <c r="F52" s="1"/>
      <c r="G52" s="1">
        <v>-0.32500000000000001</v>
      </c>
      <c r="H52" s="1">
        <v>-2.2576387499999999</v>
      </c>
      <c r="I52" s="2"/>
      <c r="J52" s="1">
        <v>0.24719360000000001</v>
      </c>
      <c r="K52" s="1">
        <v>0.46551667499999999</v>
      </c>
      <c r="L52" s="1">
        <v>58.937505000000002</v>
      </c>
    </row>
    <row r="53" spans="2:12" x14ac:dyDescent="0.4">
      <c r="B53" s="1">
        <v>-0.75316665000000005</v>
      </c>
      <c r="C53" s="1">
        <v>6.5</v>
      </c>
      <c r="D53" s="1">
        <v>20</v>
      </c>
      <c r="E53" s="1">
        <v>1.695953</v>
      </c>
      <c r="F53" s="1">
        <v>2.138585</v>
      </c>
      <c r="G53" s="1"/>
      <c r="H53" s="1"/>
      <c r="I53" s="2">
        <v>-0.98</v>
      </c>
      <c r="J53" s="1">
        <v>0.79809160000000001</v>
      </c>
      <c r="K53" s="1">
        <v>0.5882733</v>
      </c>
      <c r="L53" s="1">
        <v>51.115000000000002</v>
      </c>
    </row>
    <row r="54" spans="2:12" x14ac:dyDescent="0.4">
      <c r="B54" s="1">
        <v>-5.3125</v>
      </c>
      <c r="C54" s="1">
        <v>1.43</v>
      </c>
      <c r="D54" s="1">
        <v>13.4</v>
      </c>
      <c r="E54" s="1">
        <v>0.97</v>
      </c>
      <c r="F54" s="1">
        <v>1.2144999999999999</v>
      </c>
      <c r="G54" s="1">
        <v>-2.4020000000000001</v>
      </c>
      <c r="H54" s="1">
        <v>-3.8340000000000001</v>
      </c>
      <c r="I54" s="2"/>
      <c r="J54" s="1">
        <v>0.13258429999999999</v>
      </c>
      <c r="K54" s="1">
        <v>0.55249999999999999</v>
      </c>
      <c r="L54" s="1">
        <v>22.5</v>
      </c>
    </row>
    <row r="55" spans="2:12" x14ac:dyDescent="0.4">
      <c r="B55" s="1">
        <v>-1.01</v>
      </c>
      <c r="C55" s="1">
        <v>7</v>
      </c>
      <c r="D55" s="1">
        <v>7</v>
      </c>
      <c r="E55" s="1">
        <v>0.89400000000000002</v>
      </c>
      <c r="F55" s="1"/>
      <c r="G55" s="1">
        <v>-1.94</v>
      </c>
      <c r="H55" s="1">
        <v>-2.31</v>
      </c>
      <c r="I55" s="2"/>
      <c r="J55" s="1"/>
      <c r="K55" s="1"/>
      <c r="L55" s="1"/>
    </row>
    <row r="56" spans="2:12" x14ac:dyDescent="0.4">
      <c r="B56" s="1">
        <v>-8.1</v>
      </c>
      <c r="C56" s="1"/>
      <c r="D56" s="1">
        <v>1</v>
      </c>
      <c r="E56" s="1"/>
      <c r="F56" s="1"/>
      <c r="G56" s="1"/>
      <c r="H56" s="1"/>
      <c r="I56" s="2"/>
      <c r="J56" s="1"/>
      <c r="K56" s="1"/>
      <c r="L56" s="1">
        <v>13.337</v>
      </c>
    </row>
    <row r="57" spans="2:12" x14ac:dyDescent="0.4">
      <c r="B57" s="1">
        <v>-3.7267142857142899</v>
      </c>
      <c r="C57" s="1">
        <v>12.106249999999999</v>
      </c>
      <c r="D57" s="1">
        <v>55</v>
      </c>
      <c r="E57" s="1">
        <v>0.52107000000000003</v>
      </c>
      <c r="F57" s="1">
        <v>2.1495000000000002</v>
      </c>
      <c r="G57" s="1"/>
      <c r="H57" s="1">
        <v>-2.6885714285714299</v>
      </c>
      <c r="I57" s="3">
        <v>-2.77</v>
      </c>
      <c r="J57" s="1">
        <v>0.19750000000000001</v>
      </c>
      <c r="K57" s="1">
        <v>0.56597116666666702</v>
      </c>
      <c r="L57" s="1">
        <v>13.1583325</v>
      </c>
    </row>
    <row r="58" spans="2:12" x14ac:dyDescent="0.4">
      <c r="B58" s="1">
        <v>-3.3895</v>
      </c>
      <c r="C58" s="1">
        <v>10</v>
      </c>
      <c r="D58" s="1">
        <v>29</v>
      </c>
      <c r="E58" s="1">
        <v>0.21</v>
      </c>
      <c r="F58" s="1">
        <v>1.19</v>
      </c>
      <c r="G58" s="1"/>
      <c r="H58" s="1">
        <v>-1.5</v>
      </c>
      <c r="I58" s="2"/>
      <c r="J58" s="1">
        <v>0.159</v>
      </c>
      <c r="K58" s="1">
        <v>0.45438630000000002</v>
      </c>
      <c r="L58" s="1">
        <v>11.354469999999999</v>
      </c>
    </row>
    <row r="59" spans="2:12" x14ac:dyDescent="0.4">
      <c r="B59" s="1">
        <v>-3.2895556666666699</v>
      </c>
      <c r="C59" s="1">
        <v>4.9444443333333297</v>
      </c>
      <c r="D59" s="1">
        <v>35</v>
      </c>
      <c r="E59" s="1">
        <v>0.26715</v>
      </c>
      <c r="F59" s="1"/>
      <c r="G59" s="1"/>
      <c r="H59" s="1">
        <v>-1.915</v>
      </c>
      <c r="I59" s="2">
        <v>-2.34</v>
      </c>
      <c r="J59" s="1"/>
      <c r="K59" s="1">
        <v>0.50520609999999999</v>
      </c>
      <c r="L59" s="1">
        <v>13.02</v>
      </c>
    </row>
    <row r="60" spans="2:12" x14ac:dyDescent="0.4">
      <c r="B60" s="1">
        <v>-3.5198999999999998</v>
      </c>
      <c r="C60" s="1">
        <v>10.0666666666667</v>
      </c>
      <c r="D60" s="1">
        <v>50</v>
      </c>
      <c r="E60" s="1">
        <v>0.40546067499999999</v>
      </c>
      <c r="F60" s="1">
        <v>1.64970166666667</v>
      </c>
      <c r="G60" s="1">
        <v>-0.74750000000000005</v>
      </c>
      <c r="H60" s="1">
        <v>-1.58</v>
      </c>
      <c r="I60" s="3">
        <v>-1.58</v>
      </c>
      <c r="J60" s="1">
        <v>0.14749999999999999</v>
      </c>
      <c r="K60" s="1">
        <v>0.42592333333333299</v>
      </c>
      <c r="L60" s="1">
        <v>14.973924999999999</v>
      </c>
    </row>
    <row r="61" spans="2:12" x14ac:dyDescent="0.4">
      <c r="B61" s="1">
        <v>-4.407</v>
      </c>
      <c r="C61" s="1"/>
      <c r="D61" s="1">
        <v>25</v>
      </c>
      <c r="E61" s="1"/>
      <c r="F61" s="1"/>
      <c r="G61" s="1"/>
      <c r="H61" s="1"/>
      <c r="I61" s="2"/>
      <c r="J61" s="1"/>
      <c r="K61" s="1">
        <v>0.52856219999999998</v>
      </c>
      <c r="L61" s="1">
        <v>12.21265</v>
      </c>
    </row>
    <row r="62" spans="2:12" x14ac:dyDescent="0.4">
      <c r="B62" s="1">
        <v>-3.60255566666667</v>
      </c>
      <c r="C62" s="1">
        <v>1.5</v>
      </c>
      <c r="D62" s="1">
        <v>40</v>
      </c>
      <c r="E62" s="1">
        <v>1.96423573333333</v>
      </c>
      <c r="F62" s="1">
        <v>2.7931933333333299</v>
      </c>
      <c r="G62" s="1">
        <v>-0.40500000000000003</v>
      </c>
      <c r="H62" s="1">
        <v>-1.425</v>
      </c>
      <c r="I62" s="2"/>
      <c r="J62" s="1">
        <v>0.15902374999999999</v>
      </c>
      <c r="K62" s="1">
        <v>0.46625630000000001</v>
      </c>
      <c r="L62" s="1">
        <v>22.260165000000001</v>
      </c>
    </row>
    <row r="63" spans="2:12" x14ac:dyDescent="0.4">
      <c r="B63" s="1">
        <v>-4.4603333333333302</v>
      </c>
      <c r="C63" s="1">
        <v>7</v>
      </c>
      <c r="D63" s="1">
        <v>25</v>
      </c>
      <c r="E63" s="1">
        <v>0.15</v>
      </c>
      <c r="F63" s="1">
        <v>0.95399999999999996</v>
      </c>
      <c r="G63" s="1">
        <v>-2.13</v>
      </c>
      <c r="H63" s="1">
        <v>-2.95</v>
      </c>
      <c r="I63" s="2">
        <v>-2.15</v>
      </c>
      <c r="J63" s="1">
        <v>0.13200000000000001</v>
      </c>
      <c r="K63" s="1">
        <v>0.52620073333333295</v>
      </c>
      <c r="L63" s="1">
        <v>13.36112</v>
      </c>
    </row>
    <row r="64" spans="2:12" x14ac:dyDescent="0.4">
      <c r="B64" s="1">
        <v>-5.9225000000000003</v>
      </c>
      <c r="C64" s="1">
        <v>15.2</v>
      </c>
      <c r="D64" s="1">
        <v>20</v>
      </c>
      <c r="E64" s="1">
        <v>0.19700000000000001</v>
      </c>
      <c r="F64" s="1"/>
      <c r="G64" s="1"/>
      <c r="H64" s="1"/>
      <c r="I64" s="2"/>
      <c r="J64" s="1"/>
      <c r="K64" s="1">
        <v>0.58199999999999996</v>
      </c>
      <c r="L64" s="1">
        <v>17.617450000000002</v>
      </c>
    </row>
    <row r="65" spans="2:12" x14ac:dyDescent="0.4">
      <c r="B65" s="1">
        <v>-3.6398333333333301</v>
      </c>
      <c r="C65" s="1">
        <v>2.1666666666666701</v>
      </c>
      <c r="D65" s="1">
        <v>20</v>
      </c>
      <c r="E65" s="1">
        <v>0.34460499999999999</v>
      </c>
      <c r="F65" s="1"/>
      <c r="G65" s="1"/>
      <c r="H65" s="1">
        <v>-1.905</v>
      </c>
      <c r="I65" s="2"/>
      <c r="J65" s="1"/>
      <c r="K65" s="1">
        <v>0.58838446666666699</v>
      </c>
      <c r="L65" s="1">
        <v>11.521039999999999</v>
      </c>
    </row>
    <row r="66" spans="2:12" x14ac:dyDescent="0.4">
      <c r="B66" s="1">
        <v>-3.15</v>
      </c>
      <c r="C66" s="1">
        <v>9</v>
      </c>
      <c r="D66" s="1">
        <v>55</v>
      </c>
      <c r="E66" s="1">
        <v>0.40699999999999997</v>
      </c>
      <c r="F66" s="1">
        <v>3.24</v>
      </c>
      <c r="G66" s="1"/>
      <c r="H66" s="1">
        <v>-2.4</v>
      </c>
      <c r="I66" s="3">
        <v>-2.4</v>
      </c>
      <c r="J66" s="1">
        <v>0.127</v>
      </c>
      <c r="K66" s="1"/>
      <c r="L66" s="1"/>
    </row>
    <row r="67" spans="2:12" x14ac:dyDescent="0.4">
      <c r="B67" s="1">
        <v>-3.3692500000000001</v>
      </c>
      <c r="C67" s="1">
        <v>11.5</v>
      </c>
      <c r="D67" s="1">
        <v>35</v>
      </c>
      <c r="E67" s="1">
        <v>0.35199999999999998</v>
      </c>
      <c r="F67" s="1">
        <v>3.43</v>
      </c>
      <c r="G67" s="1"/>
      <c r="H67" s="1">
        <v>-2</v>
      </c>
      <c r="I67" s="2"/>
      <c r="J67" s="1">
        <v>0.10100000000000001</v>
      </c>
      <c r="K67" s="1">
        <v>0.34099740000000001</v>
      </c>
      <c r="L67" s="1"/>
    </row>
    <row r="68" spans="2:12" x14ac:dyDescent="0.4">
      <c r="B68" s="1">
        <v>-2.9522272727272698</v>
      </c>
      <c r="C68" s="1">
        <v>13.025</v>
      </c>
      <c r="D68" s="1">
        <v>72</v>
      </c>
      <c r="E68" s="1">
        <v>0.76919308333333303</v>
      </c>
      <c r="F68" s="1">
        <v>5.8668566666666697</v>
      </c>
      <c r="G68" s="1">
        <v>-1.05176916666667</v>
      </c>
      <c r="H68" s="1">
        <v>-2.0225</v>
      </c>
      <c r="I68" s="2">
        <v>-2.7</v>
      </c>
      <c r="J68" s="1">
        <v>0.18172222222222201</v>
      </c>
      <c r="K68" s="1">
        <v>0.47991271666666702</v>
      </c>
      <c r="L68" s="1">
        <v>16.083140499999999</v>
      </c>
    </row>
    <row r="69" spans="2:12" x14ac:dyDescent="0.4">
      <c r="B69" s="1">
        <v>-2.4237500000000001</v>
      </c>
      <c r="C69" s="1"/>
      <c r="D69" s="1">
        <v>46</v>
      </c>
      <c r="E69" s="1"/>
      <c r="F69" s="1"/>
      <c r="G69" s="1"/>
      <c r="H69" s="1"/>
      <c r="I69" s="2"/>
      <c r="J69" s="1"/>
      <c r="K69" s="1"/>
      <c r="L69" s="1"/>
    </row>
    <row r="70" spans="2:12" x14ac:dyDescent="0.4">
      <c r="B70" s="1">
        <v>-3.2205087894736799</v>
      </c>
      <c r="C70" s="1">
        <v>11.744444444444399</v>
      </c>
      <c r="D70" s="1">
        <v>45</v>
      </c>
      <c r="E70" s="1">
        <v>0.44562227999999998</v>
      </c>
      <c r="F70" s="1">
        <v>2.77428092857143</v>
      </c>
      <c r="G70" s="1">
        <v>-1.4680952857142899</v>
      </c>
      <c r="H70" s="1">
        <v>-1.9850000000000001</v>
      </c>
      <c r="I70" s="2">
        <v>-2.25</v>
      </c>
      <c r="J70" s="1">
        <v>0.182624913333333</v>
      </c>
      <c r="K70" s="1">
        <v>0.48183292307692299</v>
      </c>
      <c r="L70" s="1">
        <v>14.4635521428571</v>
      </c>
    </row>
    <row r="71" spans="2:12" x14ac:dyDescent="0.4">
      <c r="B71" s="1">
        <v>-8.4220000000000006</v>
      </c>
      <c r="C71" s="1">
        <v>2</v>
      </c>
      <c r="D71" s="1">
        <v>10</v>
      </c>
      <c r="E71" s="1"/>
      <c r="F71" s="1"/>
      <c r="G71" s="1"/>
      <c r="H71" s="1"/>
      <c r="I71" s="2"/>
      <c r="J71" s="1"/>
      <c r="K71" s="1">
        <v>0.68348850000000005</v>
      </c>
      <c r="L71" s="1"/>
    </row>
    <row r="72" spans="2:12" x14ac:dyDescent="0.4">
      <c r="B72" s="1">
        <v>-1.825</v>
      </c>
      <c r="C72" s="1"/>
      <c r="D72" s="1">
        <v>35</v>
      </c>
      <c r="E72" s="1"/>
      <c r="F72" s="1"/>
      <c r="G72" s="1"/>
      <c r="H72" s="1"/>
      <c r="I72" s="2">
        <v>-2.0299999999999998</v>
      </c>
      <c r="J72" s="1"/>
      <c r="K72" s="1"/>
      <c r="L72" s="1"/>
    </row>
    <row r="73" spans="2:12" x14ac:dyDescent="0.4">
      <c r="B73" s="1">
        <v>-1.52</v>
      </c>
      <c r="C73" s="1">
        <v>2</v>
      </c>
      <c r="D73" s="1">
        <v>27</v>
      </c>
      <c r="E73" s="1"/>
      <c r="F73" s="1"/>
      <c r="G73" s="1"/>
      <c r="H73" s="1"/>
      <c r="I73" s="2"/>
      <c r="J73" s="1"/>
      <c r="K73" s="1"/>
      <c r="L73" s="1"/>
    </row>
    <row r="74" spans="2:12" x14ac:dyDescent="0.4">
      <c r="B74" s="1">
        <v>-1.4059999999999999</v>
      </c>
      <c r="C74" s="1"/>
      <c r="D74" s="1">
        <v>35</v>
      </c>
      <c r="E74" s="1">
        <v>2.1174650000000002</v>
      </c>
      <c r="F74" s="1"/>
      <c r="G74" s="1">
        <v>-1.26</v>
      </c>
      <c r="H74" s="1">
        <v>-1.58</v>
      </c>
      <c r="I74" s="2"/>
      <c r="J74" s="1"/>
      <c r="K74" s="1"/>
      <c r="L74" s="1">
        <v>44.5</v>
      </c>
    </row>
    <row r="75" spans="2:12" x14ac:dyDescent="0.4">
      <c r="B75" s="1">
        <v>-2.95</v>
      </c>
      <c r="C75" s="1">
        <v>15</v>
      </c>
      <c r="D75" s="1">
        <v>30</v>
      </c>
      <c r="E75" s="1"/>
      <c r="F75" s="1"/>
      <c r="G75" s="1"/>
      <c r="H75" s="1"/>
      <c r="I75" s="2">
        <v>-2.0699999999999998</v>
      </c>
      <c r="J75" s="1"/>
      <c r="K75" s="1"/>
      <c r="L75" s="1"/>
    </row>
    <row r="76" spans="2:12" x14ac:dyDescent="0.4">
      <c r="B76" s="1">
        <v>-1.7490000000000001</v>
      </c>
      <c r="C76" s="1">
        <v>17</v>
      </c>
      <c r="D76" s="1">
        <v>20</v>
      </c>
      <c r="E76" s="1">
        <v>0.92</v>
      </c>
      <c r="F76" s="1"/>
      <c r="G76" s="1">
        <v>-0.37</v>
      </c>
      <c r="H76" s="1">
        <v>-0.55000000000000004</v>
      </c>
      <c r="I76" s="2"/>
      <c r="J76" s="1"/>
      <c r="K76" s="1"/>
      <c r="L76" s="1">
        <v>29.56</v>
      </c>
    </row>
    <row r="77" spans="2:12" x14ac:dyDescent="0.4">
      <c r="B77" s="1">
        <v>-1.437225</v>
      </c>
      <c r="C77" s="1">
        <v>14.195104000000001</v>
      </c>
      <c r="D77" s="1">
        <v>32.1875</v>
      </c>
      <c r="E77" s="1">
        <v>0.76115390000000005</v>
      </c>
      <c r="F77" s="1">
        <v>1.2027076666666701</v>
      </c>
      <c r="G77" s="1">
        <v>-0.37</v>
      </c>
      <c r="H77" s="1">
        <v>-1.531852</v>
      </c>
      <c r="I77" s="2"/>
      <c r="J77" s="1">
        <v>0.42099999999999999</v>
      </c>
      <c r="K77" s="1">
        <v>0.40033029999999997</v>
      </c>
      <c r="L77" s="1">
        <v>27.06343</v>
      </c>
    </row>
    <row r="78" spans="2:12" x14ac:dyDescent="0.4">
      <c r="B78" s="1">
        <v>-1.30433325</v>
      </c>
      <c r="C78" s="1">
        <v>1.58444433333333</v>
      </c>
      <c r="D78" s="1">
        <v>50</v>
      </c>
      <c r="E78" s="1">
        <v>4.6751166666666704</v>
      </c>
      <c r="F78" s="1">
        <v>4.25020166666667</v>
      </c>
      <c r="G78" s="1"/>
      <c r="H78" s="1">
        <v>-1.9821884999999999</v>
      </c>
      <c r="I78" s="2"/>
      <c r="J78" s="1">
        <v>0.45100000000000001</v>
      </c>
      <c r="K78" s="1">
        <v>0.3476667</v>
      </c>
      <c r="L78" s="1">
        <v>38.637500000000003</v>
      </c>
    </row>
    <row r="79" spans="2:12" x14ac:dyDescent="0.4">
      <c r="B79" s="1">
        <v>-4.7675000000000001</v>
      </c>
      <c r="C79" s="1">
        <v>12</v>
      </c>
      <c r="D79" s="1">
        <v>32</v>
      </c>
      <c r="E79" s="1"/>
      <c r="F79" s="1"/>
      <c r="G79" s="1"/>
      <c r="H79" s="1"/>
      <c r="I79" s="2">
        <v>-2.3199999999999998</v>
      </c>
      <c r="J79" s="1"/>
      <c r="K79" s="1">
        <v>0.64681860000000002</v>
      </c>
      <c r="L79" s="1">
        <v>48.410719999999998</v>
      </c>
    </row>
    <row r="80" spans="2:12" x14ac:dyDescent="0.4">
      <c r="B80" s="1">
        <v>-4.3899999999999997</v>
      </c>
      <c r="C80" s="1"/>
      <c r="D80" s="1">
        <v>15</v>
      </c>
      <c r="E80" s="1">
        <v>0.71</v>
      </c>
      <c r="F80" s="1"/>
      <c r="G80" s="1"/>
      <c r="H80" s="1">
        <v>-2.9</v>
      </c>
      <c r="I80" s="2"/>
      <c r="J80" s="1"/>
      <c r="K80" s="1">
        <v>0.67820000000000003</v>
      </c>
      <c r="L80" s="1">
        <v>32.31</v>
      </c>
    </row>
    <row r="81" spans="2:12" x14ac:dyDescent="0.4">
      <c r="B81" s="1">
        <v>-5.56</v>
      </c>
      <c r="C81" s="1">
        <v>3</v>
      </c>
      <c r="D81" s="1">
        <v>10</v>
      </c>
      <c r="E81" s="1"/>
      <c r="F81" s="1"/>
      <c r="G81" s="1"/>
      <c r="H81" s="1"/>
      <c r="I81" s="2"/>
      <c r="J81" s="1"/>
      <c r="K81" s="1">
        <v>0.76720699999999997</v>
      </c>
      <c r="L81" s="1">
        <v>47.364409999999999</v>
      </c>
    </row>
    <row r="82" spans="2:12" x14ac:dyDescent="0.4">
      <c r="B82" s="1">
        <v>-5.1805000000000003</v>
      </c>
      <c r="C82" s="1">
        <v>4</v>
      </c>
      <c r="D82" s="1">
        <v>10</v>
      </c>
      <c r="E82" s="1"/>
      <c r="F82" s="1"/>
      <c r="G82" s="1"/>
      <c r="H82" s="1"/>
      <c r="I82" s="2"/>
      <c r="J82" s="1"/>
      <c r="K82" s="1">
        <v>0.65454250000000003</v>
      </c>
      <c r="L82" s="1">
        <v>57.169640000000001</v>
      </c>
    </row>
    <row r="83" spans="2:12" x14ac:dyDescent="0.4">
      <c r="B83" s="1">
        <v>-4.57</v>
      </c>
      <c r="C83" s="1"/>
      <c r="D83" s="1">
        <v>6.5</v>
      </c>
      <c r="E83" s="1">
        <v>0.55000000000000004</v>
      </c>
      <c r="F83" s="1"/>
      <c r="G83" s="1"/>
      <c r="H83" s="1"/>
      <c r="I83" s="2">
        <v>-1.42</v>
      </c>
      <c r="J83" s="1"/>
      <c r="K83" s="1"/>
      <c r="L83" s="1"/>
    </row>
    <row r="84" spans="2:12" x14ac:dyDescent="0.4">
      <c r="B84" s="1">
        <v>-5.3630000000000004</v>
      </c>
      <c r="C84" s="1">
        <v>2</v>
      </c>
      <c r="D84" s="1">
        <v>5</v>
      </c>
      <c r="E84" s="1"/>
      <c r="F84" s="1"/>
      <c r="G84" s="1"/>
      <c r="H84" s="1"/>
      <c r="I84" s="2"/>
      <c r="J84" s="1"/>
      <c r="K84" s="1">
        <v>0.61648199999999997</v>
      </c>
      <c r="L84" s="1">
        <v>44.470140000000001</v>
      </c>
    </row>
    <row r="85" spans="2:12" x14ac:dyDescent="0.4">
      <c r="B85" s="1">
        <v>-3.8</v>
      </c>
      <c r="C85" s="1"/>
      <c r="D85" s="1">
        <v>4.9000000000000004</v>
      </c>
      <c r="E85" s="1"/>
      <c r="F85" s="1"/>
      <c r="G85" s="1"/>
      <c r="H85" s="1"/>
      <c r="I85" s="2"/>
      <c r="J85" s="1"/>
      <c r="K85" s="1"/>
      <c r="L85" s="1"/>
    </row>
    <row r="86" spans="2:12" x14ac:dyDescent="0.4">
      <c r="B86" s="1">
        <v>-3.9702023571428602</v>
      </c>
      <c r="C86" s="1">
        <v>28.533333333333299</v>
      </c>
      <c r="D86" s="1">
        <v>118.125</v>
      </c>
      <c r="E86" s="1">
        <v>0.68237199999999998</v>
      </c>
      <c r="F86" s="1">
        <v>0.38733333333333297</v>
      </c>
      <c r="G86" s="1">
        <v>-1.69735375</v>
      </c>
      <c r="H86" s="1">
        <v>-2.3131481666666698</v>
      </c>
      <c r="I86" s="3">
        <v>-2.91</v>
      </c>
      <c r="J86" s="1">
        <v>0.43559526999999998</v>
      </c>
      <c r="K86" s="1">
        <v>0.46266932</v>
      </c>
      <c r="L86" s="1">
        <v>14.797117500000001</v>
      </c>
    </row>
    <row r="87" spans="2:12" x14ac:dyDescent="0.4">
      <c r="B87" s="1">
        <v>-2.1850000000000001</v>
      </c>
      <c r="C87" s="1"/>
      <c r="D87" s="1">
        <v>25</v>
      </c>
      <c r="E87" s="1">
        <v>4.05</v>
      </c>
      <c r="F87" s="1"/>
      <c r="G87" s="1">
        <v>-1.139</v>
      </c>
      <c r="H87" s="1">
        <v>-2.339</v>
      </c>
      <c r="I87" s="2">
        <v>-2.08</v>
      </c>
      <c r="J87" s="1">
        <v>0.2708238</v>
      </c>
      <c r="K87" s="1">
        <v>0.51910000000000001</v>
      </c>
      <c r="L87" s="1">
        <v>63.13</v>
      </c>
    </row>
    <row r="88" spans="2:12" x14ac:dyDescent="0.4">
      <c r="B88" s="1">
        <v>-2.9646666666666701</v>
      </c>
      <c r="C88" s="1">
        <v>3.3</v>
      </c>
      <c r="D88" s="1">
        <v>4</v>
      </c>
      <c r="E88" s="1">
        <v>1.89333333333333</v>
      </c>
      <c r="F88" s="1">
        <v>4.7699999999999996</v>
      </c>
      <c r="G88" s="1">
        <v>-2.9630000000000001</v>
      </c>
      <c r="H88" s="1">
        <v>-3.99908325</v>
      </c>
      <c r="I88" s="2"/>
      <c r="J88" s="1">
        <v>0.13953014999999999</v>
      </c>
      <c r="K88" s="1">
        <v>0.658918475</v>
      </c>
      <c r="L88" s="1">
        <v>55.855674999999998</v>
      </c>
    </row>
    <row r="89" spans="2:12" x14ac:dyDescent="0.4">
      <c r="B89" s="1">
        <v>-6.98</v>
      </c>
      <c r="C89" s="1">
        <v>1</v>
      </c>
      <c r="D89" s="1">
        <v>6</v>
      </c>
      <c r="E89" s="1">
        <v>0.28999999999999998</v>
      </c>
      <c r="F89" s="1">
        <v>1.46</v>
      </c>
      <c r="G89" s="1">
        <v>-6.3449999999999998</v>
      </c>
      <c r="H89" s="1">
        <v>-10.298999999999999</v>
      </c>
      <c r="I89" s="2">
        <v>-2.95</v>
      </c>
      <c r="J89" s="1"/>
      <c r="K89" s="1"/>
      <c r="L89" s="1"/>
    </row>
    <row r="90" spans="2:12" x14ac:dyDescent="0.4">
      <c r="B90" s="1">
        <v>-3.61</v>
      </c>
      <c r="C90" s="1"/>
      <c r="D90" s="1">
        <v>30</v>
      </c>
      <c r="E90" s="1"/>
      <c r="F90" s="1"/>
      <c r="G90" s="1"/>
      <c r="H90" s="1"/>
      <c r="I90" s="2"/>
      <c r="J90" s="1"/>
      <c r="K90" s="1"/>
      <c r="L90" s="1"/>
    </row>
    <row r="91" spans="2:12" x14ac:dyDescent="0.4">
      <c r="B91" s="1">
        <v>-0.23849999999999999</v>
      </c>
      <c r="C91" s="1"/>
      <c r="D91" s="1">
        <v>15</v>
      </c>
      <c r="E91" s="1">
        <v>2.3852449999999998</v>
      </c>
      <c r="F91" s="1"/>
      <c r="G91" s="1"/>
      <c r="H91" s="1"/>
      <c r="I91" s="2"/>
      <c r="J91" s="1"/>
      <c r="K91" s="1"/>
      <c r="L91" s="1">
        <v>30.928999999999998</v>
      </c>
    </row>
    <row r="92" spans="2:12" x14ac:dyDescent="0.4">
      <c r="B92" s="1">
        <v>-3.6131481111111099</v>
      </c>
      <c r="C92" s="1">
        <v>3.3628571428571399</v>
      </c>
      <c r="D92" s="1">
        <v>20.8888888888889</v>
      </c>
      <c r="E92" s="1">
        <v>1.449139</v>
      </c>
      <c r="F92" s="1">
        <v>5.2496359999999997</v>
      </c>
      <c r="G92" s="1">
        <v>-2.6266668000000002</v>
      </c>
      <c r="H92" s="1">
        <v>-3.8666668</v>
      </c>
      <c r="I92" s="2">
        <v>-2.84</v>
      </c>
      <c r="J92" s="1">
        <v>0.25112814999999999</v>
      </c>
      <c r="K92" s="1">
        <v>0.7073661</v>
      </c>
      <c r="L92" s="1">
        <v>35.182980000000001</v>
      </c>
    </row>
    <row r="93" spans="2:12" x14ac:dyDescent="0.4">
      <c r="B93" s="1">
        <v>-3.4316665</v>
      </c>
      <c r="C93" s="1">
        <v>15</v>
      </c>
      <c r="D93" s="1">
        <v>40</v>
      </c>
      <c r="E93" s="1"/>
      <c r="F93" s="1"/>
      <c r="G93" s="1">
        <v>-2.06</v>
      </c>
      <c r="H93" s="1">
        <v>-3.17</v>
      </c>
      <c r="I93" s="2">
        <v>-2.2400000000000002</v>
      </c>
      <c r="J93" s="1"/>
      <c r="K93" s="1"/>
      <c r="L93" s="1">
        <v>52.5</v>
      </c>
    </row>
    <row r="94" spans="2:12" x14ac:dyDescent="0.4">
      <c r="B94" s="1">
        <v>-2.75</v>
      </c>
      <c r="C94" s="1">
        <v>10.5</v>
      </c>
      <c r="D94" s="1">
        <v>20</v>
      </c>
      <c r="E94" s="1">
        <v>1.575</v>
      </c>
      <c r="F94" s="1">
        <v>1.29</v>
      </c>
      <c r="G94" s="1">
        <v>-3.6</v>
      </c>
      <c r="H94" s="1">
        <v>-4.5999999999999996</v>
      </c>
      <c r="I94" s="2"/>
      <c r="J94" s="1"/>
      <c r="K94" s="1"/>
      <c r="L94" s="1"/>
    </row>
    <row r="95" spans="2:12" x14ac:dyDescent="0.4">
      <c r="B95" s="1">
        <v>-2.8</v>
      </c>
      <c r="C95" s="1">
        <v>17.5</v>
      </c>
      <c r="D95" s="1">
        <v>40</v>
      </c>
      <c r="E95" s="1"/>
      <c r="F95" s="1"/>
      <c r="G95" s="1">
        <v>-1.55</v>
      </c>
      <c r="H95" s="1">
        <v>-2.94</v>
      </c>
      <c r="I95" s="2">
        <v>-2.63</v>
      </c>
      <c r="J95" s="1"/>
      <c r="K95" s="1"/>
      <c r="L95" s="1">
        <v>53.6</v>
      </c>
    </row>
    <row r="96" spans="2:12" x14ac:dyDescent="0.4">
      <c r="B96" s="1">
        <v>-5.2</v>
      </c>
      <c r="C96" s="1">
        <v>4</v>
      </c>
      <c r="D96" s="1">
        <v>15</v>
      </c>
      <c r="E96" s="1"/>
      <c r="F96" s="1"/>
      <c r="G96" s="1"/>
      <c r="H96" s="1"/>
      <c r="I96" s="2">
        <v>-3.08</v>
      </c>
      <c r="J96" s="1"/>
      <c r="K96" s="1"/>
      <c r="L96" s="1"/>
    </row>
    <row r="97" spans="2:12" x14ac:dyDescent="0.4">
      <c r="B97" s="1">
        <v>-0.5</v>
      </c>
      <c r="C97" s="1"/>
      <c r="D97" s="1">
        <v>6</v>
      </c>
      <c r="E97" s="1"/>
      <c r="F97" s="1"/>
      <c r="G97" s="1"/>
      <c r="H97" s="1"/>
      <c r="I97" s="2"/>
      <c r="J97" s="1"/>
      <c r="K97" s="1"/>
      <c r="L97" s="1"/>
    </row>
    <row r="98" spans="2:12" x14ac:dyDescent="0.4">
      <c r="B98" s="1">
        <v>-2.4900000000000002</v>
      </c>
      <c r="C98" s="1"/>
      <c r="D98" s="1">
        <v>22</v>
      </c>
      <c r="E98" s="1">
        <v>1.88</v>
      </c>
      <c r="F98" s="1"/>
      <c r="G98" s="1"/>
      <c r="H98" s="1">
        <v>-3.57</v>
      </c>
      <c r="I98" s="2"/>
      <c r="J98" s="1"/>
      <c r="K98" s="1">
        <v>0.72030000000000005</v>
      </c>
      <c r="L98" s="1">
        <v>48.22</v>
      </c>
    </row>
    <row r="99" spans="2:12" x14ac:dyDescent="0.4">
      <c r="B99" s="1">
        <v>-1.61</v>
      </c>
      <c r="C99" s="1"/>
      <c r="D99" s="1">
        <v>3</v>
      </c>
      <c r="E99" s="1">
        <v>13.3</v>
      </c>
      <c r="F99" s="1"/>
      <c r="G99" s="1"/>
      <c r="H99" s="1"/>
      <c r="I99" s="2"/>
      <c r="J99" s="1"/>
      <c r="K99" s="1"/>
      <c r="L99" s="1">
        <v>36.799999999999997</v>
      </c>
    </row>
    <row r="100" spans="2:12" x14ac:dyDescent="0.4">
      <c r="B100" s="1">
        <v>-1.56</v>
      </c>
      <c r="C100" s="1"/>
      <c r="D100" s="1">
        <v>2.5</v>
      </c>
      <c r="E100" s="1">
        <v>15.64</v>
      </c>
      <c r="F100" s="1"/>
      <c r="G100" s="1"/>
      <c r="H100" s="1"/>
      <c r="I100" s="2"/>
      <c r="J100" s="1"/>
      <c r="K100" s="1"/>
      <c r="L100" s="1">
        <v>37.6</v>
      </c>
    </row>
    <row r="101" spans="2:12" x14ac:dyDescent="0.4">
      <c r="B101" s="1">
        <v>-3.57</v>
      </c>
      <c r="C101" s="1"/>
      <c r="D101" s="1">
        <v>10.5</v>
      </c>
      <c r="E101" s="1">
        <v>1.343</v>
      </c>
      <c r="F101" s="1"/>
      <c r="G101" s="1"/>
      <c r="H101" s="1"/>
      <c r="I101" s="2"/>
      <c r="J101" s="1"/>
      <c r="K101" s="1">
        <v>0.72050000000000003</v>
      </c>
      <c r="L101" s="1">
        <v>188</v>
      </c>
    </row>
    <row r="102" spans="2:12" x14ac:dyDescent="0.4">
      <c r="B102" s="1">
        <v>-1.6</v>
      </c>
      <c r="C102" s="1"/>
      <c r="D102" s="1">
        <v>10</v>
      </c>
      <c r="E102" s="1"/>
      <c r="F102" s="1"/>
      <c r="G102" s="1"/>
      <c r="H102" s="1"/>
      <c r="I102" s="2"/>
      <c r="J102" s="1"/>
      <c r="K102" s="1"/>
      <c r="L102" s="1"/>
    </row>
    <row r="103" spans="2:12" x14ac:dyDescent="0.4">
      <c r="B103" s="1"/>
      <c r="C103" s="1"/>
      <c r="D103" s="1">
        <v>15</v>
      </c>
      <c r="E103" s="1"/>
      <c r="F103" s="1"/>
      <c r="G103" s="1">
        <v>-0.58099999999999996</v>
      </c>
      <c r="H103" s="1">
        <v>-0.30299999999999999</v>
      </c>
      <c r="I103" s="2"/>
      <c r="J103" s="1">
        <v>0.40562419999999999</v>
      </c>
      <c r="K103" s="1">
        <v>0.26600000000000001</v>
      </c>
      <c r="L103" s="1"/>
    </row>
    <row r="104" spans="2:12" x14ac:dyDescent="0.4">
      <c r="B104" s="1">
        <v>-5.1615000000000002</v>
      </c>
      <c r="C104" s="1">
        <v>20</v>
      </c>
      <c r="D104" s="1">
        <v>100</v>
      </c>
      <c r="E104" s="1">
        <v>0.65</v>
      </c>
      <c r="F104" s="1">
        <v>1.98143</v>
      </c>
      <c r="G104" s="1"/>
      <c r="H104" s="1"/>
      <c r="I104" s="2"/>
      <c r="J104" s="1"/>
      <c r="K104" s="1">
        <v>0.49922539999999999</v>
      </c>
      <c r="L104" s="1">
        <v>14.433624999999999</v>
      </c>
    </row>
    <row r="105" spans="2:12" x14ac:dyDescent="0.4">
      <c r="B105" s="1">
        <v>-5.3875000000000002</v>
      </c>
      <c r="C105" s="1">
        <v>30</v>
      </c>
      <c r="D105" s="1">
        <v>115.5</v>
      </c>
      <c r="E105" s="1">
        <v>1.7130000000000001</v>
      </c>
      <c r="F105" s="1">
        <v>0.98780599999999996</v>
      </c>
      <c r="G105" s="1"/>
      <c r="H105" s="1"/>
      <c r="I105" s="2"/>
      <c r="J105" s="1"/>
      <c r="K105" s="1">
        <v>0.55569634999999995</v>
      </c>
      <c r="L105" s="1">
        <v>14.67043</v>
      </c>
    </row>
    <row r="106" spans="2:12" x14ac:dyDescent="0.4">
      <c r="B106" s="1">
        <v>-1.1285000000000001</v>
      </c>
      <c r="C106" s="1">
        <v>1.5</v>
      </c>
      <c r="D106" s="1">
        <v>7.3333333333333304</v>
      </c>
      <c r="E106" s="1">
        <v>2.7421162393333298</v>
      </c>
      <c r="F106" s="1">
        <v>5.5546465100000004</v>
      </c>
      <c r="G106" s="1">
        <v>-1.32</v>
      </c>
      <c r="H106" s="1">
        <v>-2.16</v>
      </c>
      <c r="I106" s="2"/>
      <c r="J106" s="1">
        <v>0.33866942300000002</v>
      </c>
      <c r="K106" s="1">
        <v>0.60783120999999996</v>
      </c>
      <c r="L106" s="1">
        <v>58.3</v>
      </c>
    </row>
    <row r="107" spans="2:12" x14ac:dyDescent="0.4">
      <c r="B107" s="1">
        <v>-2.532</v>
      </c>
      <c r="C107" s="1"/>
      <c r="D107" s="1">
        <v>40</v>
      </c>
      <c r="E107" s="1">
        <v>3.1436250000000001</v>
      </c>
      <c r="F107" s="1"/>
      <c r="G107" s="1"/>
      <c r="H107" s="1"/>
      <c r="I107" s="2"/>
      <c r="J107" s="1"/>
      <c r="K107" s="1"/>
      <c r="L107" s="1"/>
    </row>
    <row r="108" spans="2:12" x14ac:dyDescent="0.4">
      <c r="B108" s="1">
        <v>-3.0880000000000001</v>
      </c>
      <c r="C108" s="1">
        <v>10</v>
      </c>
      <c r="D108" s="1">
        <v>40</v>
      </c>
      <c r="E108" s="1"/>
      <c r="F108" s="1"/>
      <c r="G108" s="1"/>
      <c r="H108" s="1"/>
      <c r="I108" s="2"/>
      <c r="J108" s="1"/>
      <c r="K108" s="1">
        <v>0.27846019999999999</v>
      </c>
      <c r="L108" s="1">
        <v>49.220669999999998</v>
      </c>
    </row>
    <row r="109" spans="2:12" x14ac:dyDescent="0.4">
      <c r="B109" s="1"/>
      <c r="C109" s="1"/>
      <c r="D109" s="1">
        <v>83.33</v>
      </c>
      <c r="E109" s="1"/>
      <c r="F109" s="1">
        <v>0.126</v>
      </c>
      <c r="G109" s="1"/>
      <c r="H109" s="1"/>
      <c r="I109" s="2"/>
      <c r="J109" s="1"/>
      <c r="K109" s="1"/>
      <c r="L109" s="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1220-2A56-4AEE-9B63-3A3CD05ECBB9}">
  <dimension ref="B2:C104"/>
  <sheetViews>
    <sheetView topLeftCell="A55" workbookViewId="0">
      <selection activeCell="D76" sqref="D76"/>
    </sheetView>
  </sheetViews>
  <sheetFormatPr defaultRowHeight="13.9" x14ac:dyDescent="0.4"/>
  <sheetData>
    <row r="2" spans="2:3" x14ac:dyDescent="0.4">
      <c r="B2" s="1" t="s">
        <v>111</v>
      </c>
      <c r="C2" s="1" t="s">
        <v>11</v>
      </c>
    </row>
    <row r="3" spans="2:3" x14ac:dyDescent="0.4">
      <c r="B3" s="1" t="s">
        <v>12</v>
      </c>
      <c r="C3" s="1">
        <v>0.92110000000000003</v>
      </c>
    </row>
    <row r="4" spans="2:3" x14ac:dyDescent="0.4">
      <c r="B4" s="1" t="s">
        <v>13</v>
      </c>
      <c r="C4" s="1">
        <v>0.25600000000000001</v>
      </c>
    </row>
    <row r="5" spans="2:3" x14ac:dyDescent="0.4">
      <c r="B5" s="1" t="s">
        <v>14</v>
      </c>
      <c r="C5" s="1">
        <v>1.05925</v>
      </c>
    </row>
    <row r="6" spans="2:3" x14ac:dyDescent="0.4">
      <c r="B6" s="1" t="s">
        <v>15</v>
      </c>
      <c r="C6" s="1">
        <v>-1.4350000000000001</v>
      </c>
    </row>
    <row r="7" spans="2:3" x14ac:dyDescent="0.4">
      <c r="B7" s="1" t="s">
        <v>16</v>
      </c>
      <c r="C7" s="1">
        <v>1.7853333333333301</v>
      </c>
    </row>
    <row r="8" spans="2:3" x14ac:dyDescent="0.4">
      <c r="B8" s="1" t="s">
        <v>17</v>
      </c>
      <c r="C8" s="1">
        <v>-3.4039999999999999</v>
      </c>
    </row>
    <row r="9" spans="2:3" x14ac:dyDescent="0.4">
      <c r="B9" s="1" t="s">
        <v>18</v>
      </c>
      <c r="C9" s="1">
        <v>-0.44933333333333297</v>
      </c>
    </row>
    <row r="10" spans="2:3" x14ac:dyDescent="0.4">
      <c r="B10" s="1" t="s">
        <v>19</v>
      </c>
      <c r="C10" s="1">
        <v>2.8140000000000001</v>
      </c>
    </row>
    <row r="11" spans="2:3" x14ac:dyDescent="0.4">
      <c r="B11" s="1" t="s">
        <v>20</v>
      </c>
      <c r="C11" s="1">
        <v>19.151499999999999</v>
      </c>
    </row>
    <row r="12" spans="2:3" x14ac:dyDescent="0.4">
      <c r="B12" s="1" t="s">
        <v>21</v>
      </c>
      <c r="C12" s="1">
        <v>1.7585</v>
      </c>
    </row>
    <row r="13" spans="2:3" x14ac:dyDescent="0.4">
      <c r="B13" s="1" t="s">
        <v>22</v>
      </c>
      <c r="C13" s="1">
        <v>2.4195555555555601</v>
      </c>
    </row>
    <row r="14" spans="2:3" x14ac:dyDescent="0.4">
      <c r="B14" s="1" t="s">
        <v>23</v>
      </c>
      <c r="C14" s="1">
        <v>1.2242</v>
      </c>
    </row>
    <row r="15" spans="2:3" x14ac:dyDescent="0.4">
      <c r="B15" s="1" t="s">
        <v>24</v>
      </c>
      <c r="C15" s="1">
        <v>-7.0000000000000007E-2</v>
      </c>
    </row>
    <row r="16" spans="2:3" x14ac:dyDescent="0.4">
      <c r="B16" s="1" t="s">
        <v>25</v>
      </c>
      <c r="C16" s="1">
        <v>7.0000000000000007E-2</v>
      </c>
    </row>
    <row r="17" spans="2:3" x14ac:dyDescent="0.4">
      <c r="B17" s="1" t="s">
        <v>26</v>
      </c>
      <c r="C17" s="1">
        <v>0.57199999999999995</v>
      </c>
    </row>
    <row r="18" spans="2:3" x14ac:dyDescent="0.4">
      <c r="B18" s="1" t="s">
        <v>27</v>
      </c>
      <c r="C18" s="1">
        <v>-1.544</v>
      </c>
    </row>
    <row r="19" spans="2:3" x14ac:dyDescent="0.4">
      <c r="B19" s="1" t="s">
        <v>28</v>
      </c>
      <c r="C19" s="1">
        <v>2.7959999999999998</v>
      </c>
    </row>
    <row r="20" spans="2:3" x14ac:dyDescent="0.4">
      <c r="B20" s="1" t="s">
        <v>29</v>
      </c>
      <c r="C20" s="1">
        <v>5.8594999999999997</v>
      </c>
    </row>
    <row r="21" spans="2:3" x14ac:dyDescent="0.4">
      <c r="B21" s="1" t="s">
        <v>30</v>
      </c>
      <c r="C21" s="1">
        <v>-1.8420000000000001</v>
      </c>
    </row>
    <row r="22" spans="2:3" x14ac:dyDescent="0.4">
      <c r="B22" s="1" t="s">
        <v>31</v>
      </c>
      <c r="C22" s="1">
        <v>2.367</v>
      </c>
    </row>
    <row r="23" spans="2:3" x14ac:dyDescent="0.4">
      <c r="B23" s="1" t="s">
        <v>32</v>
      </c>
      <c r="C23" s="1">
        <v>1.7789999999999999</v>
      </c>
    </row>
    <row r="24" spans="2:3" x14ac:dyDescent="0.4">
      <c r="B24" s="1" t="s">
        <v>33</v>
      </c>
      <c r="C24" s="1">
        <v>1.698</v>
      </c>
    </row>
    <row r="25" spans="2:3" x14ac:dyDescent="0.4">
      <c r="B25" s="1" t="s">
        <v>34</v>
      </c>
      <c r="C25" s="1">
        <v>1.7653333333333301</v>
      </c>
    </row>
    <row r="26" spans="2:3" x14ac:dyDescent="0.4">
      <c r="B26" s="1" t="s">
        <v>35</v>
      </c>
      <c r="C26" s="1">
        <v>0.46437499999999998</v>
      </c>
    </row>
    <row r="27" spans="2:3" x14ac:dyDescent="0.4">
      <c r="B27" s="1" t="s">
        <v>36</v>
      </c>
      <c r="C27" s="1">
        <v>-0.61866666666666703</v>
      </c>
    </row>
    <row r="28" spans="2:3" x14ac:dyDescent="0.4">
      <c r="B28" s="1" t="s">
        <v>37</v>
      </c>
      <c r="C28" s="1">
        <v>0.42899999999999999</v>
      </c>
    </row>
    <row r="29" spans="2:3" x14ac:dyDescent="0.4">
      <c r="B29" s="1" t="s">
        <v>38</v>
      </c>
      <c r="C29" s="1">
        <v>2.3969999999999998</v>
      </c>
    </row>
    <row r="30" spans="2:3" x14ac:dyDescent="0.4">
      <c r="B30" s="1" t="s">
        <v>39</v>
      </c>
      <c r="C30" s="1">
        <v>0.85199999999999998</v>
      </c>
    </row>
    <row r="31" spans="2:3" x14ac:dyDescent="0.4">
      <c r="B31" s="1" t="s">
        <v>40</v>
      </c>
      <c r="C31" s="1">
        <v>22.785</v>
      </c>
    </row>
    <row r="32" spans="2:3" x14ac:dyDescent="0.4">
      <c r="B32" s="1" t="s">
        <v>41</v>
      </c>
      <c r="C32" s="1">
        <v>3.6579999999999999</v>
      </c>
    </row>
    <row r="33" spans="2:3" x14ac:dyDescent="0.4">
      <c r="B33" s="1" t="s">
        <v>42</v>
      </c>
      <c r="C33" s="1">
        <v>3.2810000000000001</v>
      </c>
    </row>
    <row r="34" spans="2:3" x14ac:dyDescent="0.4">
      <c r="B34" s="1" t="s">
        <v>43</v>
      </c>
      <c r="C34" s="1">
        <v>1.0786249999999999</v>
      </c>
    </row>
    <row r="35" spans="2:3" x14ac:dyDescent="0.4">
      <c r="B35" s="1" t="s">
        <v>44</v>
      </c>
      <c r="C35" s="1">
        <v>3.0874999999999999</v>
      </c>
    </row>
    <row r="36" spans="2:3" x14ac:dyDescent="0.4">
      <c r="B36" s="1" t="s">
        <v>45</v>
      </c>
      <c r="C36" s="1">
        <v>-0.55800000000000005</v>
      </c>
    </row>
    <row r="37" spans="2:3" x14ac:dyDescent="0.4">
      <c r="B37" s="1" t="s">
        <v>46</v>
      </c>
      <c r="C37" s="1">
        <v>2.9874999999999998</v>
      </c>
    </row>
    <row r="38" spans="2:3" x14ac:dyDescent="0.4">
      <c r="B38" s="1" t="s">
        <v>47</v>
      </c>
      <c r="C38" s="1">
        <v>4.6894999999999998</v>
      </c>
    </row>
    <row r="39" spans="2:3" x14ac:dyDescent="0.4">
      <c r="B39" s="1" t="s">
        <v>48</v>
      </c>
      <c r="C39" s="1">
        <v>-1.9530000000000001</v>
      </c>
    </row>
    <row r="40" spans="2:3" x14ac:dyDescent="0.4">
      <c r="B40" s="1" t="s">
        <v>49</v>
      </c>
      <c r="C40" s="1">
        <v>0.558071428571429</v>
      </c>
    </row>
    <row r="41" spans="2:3" x14ac:dyDescent="0.4">
      <c r="B41" s="1" t="s">
        <v>50</v>
      </c>
      <c r="C41" s="1">
        <v>3.1970000000000001</v>
      </c>
    </row>
    <row r="42" spans="2:3" x14ac:dyDescent="0.4">
      <c r="B42" s="1" t="s">
        <v>51</v>
      </c>
      <c r="C42" s="1">
        <v>-2.84</v>
      </c>
    </row>
    <row r="43" spans="2:3" x14ac:dyDescent="0.4">
      <c r="B43" s="1" t="s">
        <v>52</v>
      </c>
      <c r="C43" s="1">
        <v>-1.748</v>
      </c>
    </row>
    <row r="44" spans="2:3" x14ac:dyDescent="0.4">
      <c r="B44" s="1" t="s">
        <v>53</v>
      </c>
      <c r="C44" s="1">
        <v>0.14299999999999999</v>
      </c>
    </row>
    <row r="45" spans="2:3" x14ac:dyDescent="0.4">
      <c r="B45" s="1" t="s">
        <v>54</v>
      </c>
      <c r="C45" s="1">
        <v>2.3075000000000001</v>
      </c>
    </row>
    <row r="46" spans="2:3" x14ac:dyDescent="0.4">
      <c r="B46" s="1" t="s">
        <v>55</v>
      </c>
      <c r="C46" s="1">
        <v>5.7859999999999996</v>
      </c>
    </row>
    <row r="47" spans="2:3" x14ac:dyDescent="0.4">
      <c r="B47" s="1" t="s">
        <v>56</v>
      </c>
      <c r="C47" s="1">
        <v>0.55900000000000005</v>
      </c>
    </row>
    <row r="48" spans="2:3" x14ac:dyDescent="0.4">
      <c r="B48" s="1" t="s">
        <v>57</v>
      </c>
      <c r="C48" s="1">
        <v>1.159</v>
      </c>
    </row>
    <row r="49" spans="2:3" x14ac:dyDescent="0.4">
      <c r="B49" s="1" t="s">
        <v>58</v>
      </c>
      <c r="C49" s="1">
        <v>2.601</v>
      </c>
    </row>
    <row r="50" spans="2:3" x14ac:dyDescent="0.4">
      <c r="B50" s="1" t="s">
        <v>59</v>
      </c>
      <c r="C50" s="1">
        <v>-0.50900000000000001</v>
      </c>
    </row>
    <row r="51" spans="2:3" x14ac:dyDescent="0.4">
      <c r="B51" s="1" t="s">
        <v>60</v>
      </c>
      <c r="C51" s="1">
        <v>6.9130000000000003</v>
      </c>
    </row>
    <row r="52" spans="2:3" x14ac:dyDescent="0.4">
      <c r="B52" s="1" t="s">
        <v>61</v>
      </c>
      <c r="C52" s="1">
        <v>0.436</v>
      </c>
    </row>
    <row r="53" spans="2:3" x14ac:dyDescent="0.4">
      <c r="B53" s="1" t="s">
        <v>62</v>
      </c>
      <c r="C53" s="1">
        <v>-1.4610000000000001</v>
      </c>
    </row>
    <row r="54" spans="2:3" x14ac:dyDescent="0.4">
      <c r="B54" s="1" t="s">
        <v>63</v>
      </c>
      <c r="C54" s="1">
        <v>1.5645</v>
      </c>
    </row>
    <row r="55" spans="2:3" x14ac:dyDescent="0.4">
      <c r="B55" s="1" t="s">
        <v>64</v>
      </c>
      <c r="C55" s="1">
        <v>-2.952</v>
      </c>
    </row>
    <row r="56" spans="2:3" x14ac:dyDescent="0.4">
      <c r="B56" s="1" t="s">
        <v>65</v>
      </c>
      <c r="C56" s="1">
        <v>2.2909999999999999</v>
      </c>
    </row>
    <row r="57" spans="2:3" x14ac:dyDescent="0.4">
      <c r="B57" s="1" t="s">
        <v>66</v>
      </c>
      <c r="C57" s="1">
        <v>1.0878000000000001</v>
      </c>
    </row>
    <row r="58" spans="2:3" x14ac:dyDescent="0.4">
      <c r="B58" s="1" t="s">
        <v>67</v>
      </c>
      <c r="C58" s="1">
        <v>1.0669999999999999</v>
      </c>
    </row>
    <row r="59" spans="2:3" x14ac:dyDescent="0.4">
      <c r="B59" s="1" t="s">
        <v>68</v>
      </c>
      <c r="C59" s="1">
        <v>1.6806666666666701</v>
      </c>
    </row>
    <row r="60" spans="2:3" x14ac:dyDescent="0.4">
      <c r="B60" s="1" t="s">
        <v>69</v>
      </c>
      <c r="C60" s="1">
        <v>-0.5</v>
      </c>
    </row>
    <row r="61" spans="2:3" x14ac:dyDescent="0.4">
      <c r="B61" s="1" t="s">
        <v>70</v>
      </c>
      <c r="C61" s="1">
        <v>4.0140000000000002</v>
      </c>
    </row>
    <row r="62" spans="2:3" x14ac:dyDescent="0.4">
      <c r="B62" s="1" t="s">
        <v>71</v>
      </c>
      <c r="C62" s="1">
        <v>-2.4666666666666699</v>
      </c>
    </row>
    <row r="63" spans="2:3" x14ac:dyDescent="0.4">
      <c r="B63" s="1" t="s">
        <v>72</v>
      </c>
      <c r="C63" s="1">
        <v>0.64300000000000002</v>
      </c>
    </row>
    <row r="64" spans="2:3" x14ac:dyDescent="0.4">
      <c r="B64" s="1" t="s">
        <v>73</v>
      </c>
      <c r="C64" s="1">
        <v>0.52500000000000002</v>
      </c>
    </row>
    <row r="65" spans="2:3" x14ac:dyDescent="0.4">
      <c r="B65" s="1" t="s">
        <v>74</v>
      </c>
      <c r="C65" s="1">
        <v>7.0000000000000007E-2</v>
      </c>
    </row>
    <row r="66" spans="2:3" x14ac:dyDescent="0.4">
      <c r="B66" s="1" t="s">
        <v>75</v>
      </c>
      <c r="C66" s="1">
        <v>0.92379999999999995</v>
      </c>
    </row>
    <row r="67" spans="2:3" x14ac:dyDescent="0.4">
      <c r="B67" s="1" t="s">
        <v>76</v>
      </c>
      <c r="C67" s="1">
        <v>0.8175</v>
      </c>
    </row>
    <row r="68" spans="2:3" x14ac:dyDescent="0.4">
      <c r="B68" s="1" t="s">
        <v>77</v>
      </c>
      <c r="C68" s="1">
        <v>-1.4</v>
      </c>
    </row>
    <row r="69" spans="2:3" x14ac:dyDescent="0.4">
      <c r="B69" s="1" t="s">
        <v>78</v>
      </c>
      <c r="C69" s="1">
        <v>12.058</v>
      </c>
    </row>
    <row r="70" spans="2:3" x14ac:dyDescent="0.4">
      <c r="B70" s="1" t="s">
        <v>79</v>
      </c>
      <c r="C70" s="1">
        <v>2.476</v>
      </c>
    </row>
    <row r="71" spans="2:3" x14ac:dyDescent="0.4">
      <c r="B71" s="1" t="s">
        <v>80</v>
      </c>
      <c r="C71" s="1">
        <v>1.4339999999999999</v>
      </c>
    </row>
    <row r="72" spans="2:3" x14ac:dyDescent="0.4">
      <c r="B72" s="1" t="s">
        <v>81</v>
      </c>
      <c r="C72" s="1">
        <v>6.8468</v>
      </c>
    </row>
    <row r="73" spans="2:3" x14ac:dyDescent="0.4">
      <c r="B73" s="1" t="s">
        <v>121</v>
      </c>
      <c r="C73" s="1">
        <v>4.3140000000000001</v>
      </c>
    </row>
    <row r="74" spans="2:3" x14ac:dyDescent="0.4">
      <c r="B74" s="1" t="s">
        <v>122</v>
      </c>
      <c r="C74" s="1">
        <v>5.5179999999999998</v>
      </c>
    </row>
    <row r="75" spans="2:3" x14ac:dyDescent="0.4">
      <c r="B75" s="1" t="s">
        <v>82</v>
      </c>
      <c r="C75" s="1">
        <v>2.0289999999999999</v>
      </c>
    </row>
    <row r="76" spans="2:3" x14ac:dyDescent="0.4">
      <c r="B76" s="1" t="s">
        <v>83</v>
      </c>
      <c r="C76" s="1">
        <v>-0.96833333333333305</v>
      </c>
    </row>
    <row r="77" spans="2:3" x14ac:dyDescent="0.4">
      <c r="B77" s="1" t="s">
        <v>84</v>
      </c>
      <c r="C77" s="1">
        <v>2.4996666666666698</v>
      </c>
    </row>
    <row r="78" spans="2:3" x14ac:dyDescent="0.4">
      <c r="B78" s="1" t="s">
        <v>85</v>
      </c>
      <c r="C78" s="1">
        <v>0.42899999999999999</v>
      </c>
    </row>
    <row r="79" spans="2:3" x14ac:dyDescent="0.4">
      <c r="B79" s="1" t="s">
        <v>86</v>
      </c>
      <c r="C79" s="1">
        <v>1.349</v>
      </c>
    </row>
    <row r="80" spans="2:3" x14ac:dyDescent="0.4">
      <c r="B80" s="1" t="s">
        <v>87</v>
      </c>
      <c r="C80" s="1">
        <v>1.637</v>
      </c>
    </row>
    <row r="81" spans="2:3" x14ac:dyDescent="0.4">
      <c r="B81" s="1" t="s">
        <v>88</v>
      </c>
      <c r="C81" s="1">
        <v>3.5910000000000002</v>
      </c>
    </row>
    <row r="82" spans="2:3" x14ac:dyDescent="0.4">
      <c r="B82" s="1" t="s">
        <v>89</v>
      </c>
      <c r="C82" s="1">
        <v>0.78533333333333299</v>
      </c>
    </row>
    <row r="83" spans="2:3" x14ac:dyDescent="0.4">
      <c r="B83" s="1" t="s">
        <v>90</v>
      </c>
      <c r="C83" s="1">
        <v>-1.38</v>
      </c>
    </row>
    <row r="84" spans="2:3" x14ac:dyDescent="0.4">
      <c r="B84" s="1" t="s">
        <v>91</v>
      </c>
      <c r="C84" s="1">
        <v>4.5185000000000004</v>
      </c>
    </row>
    <row r="85" spans="2:3" x14ac:dyDescent="0.4">
      <c r="B85" s="1" t="s">
        <v>92</v>
      </c>
      <c r="C85" s="1">
        <v>-4.1429999999999998</v>
      </c>
    </row>
    <row r="86" spans="2:3" x14ac:dyDescent="0.4">
      <c r="B86" s="1" t="s">
        <v>93</v>
      </c>
      <c r="C86" s="1">
        <v>0.65180000000000005</v>
      </c>
    </row>
    <row r="87" spans="2:3" x14ac:dyDescent="0.4">
      <c r="B87" s="1" t="s">
        <v>93</v>
      </c>
      <c r="C87" s="1">
        <v>2.5754999999999999</v>
      </c>
    </row>
    <row r="88" spans="2:3" x14ac:dyDescent="0.4">
      <c r="B88" s="1" t="s">
        <v>94</v>
      </c>
      <c r="C88" s="1">
        <v>1.09728571428571</v>
      </c>
    </row>
    <row r="89" spans="2:3" x14ac:dyDescent="0.4">
      <c r="B89" s="1" t="s">
        <v>95</v>
      </c>
      <c r="C89" s="1">
        <v>2.40627272727273</v>
      </c>
    </row>
    <row r="90" spans="2:3" x14ac:dyDescent="0.4">
      <c r="B90" s="1" t="s">
        <v>96</v>
      </c>
      <c r="C90" s="1">
        <v>0.76639999999999997</v>
      </c>
    </row>
    <row r="91" spans="2:3" x14ac:dyDescent="0.4">
      <c r="B91" s="1" t="s">
        <v>97</v>
      </c>
      <c r="C91" s="1">
        <v>-0.94850000000000001</v>
      </c>
    </row>
    <row r="92" spans="2:3" x14ac:dyDescent="0.4">
      <c r="B92" s="1" t="s">
        <v>98</v>
      </c>
      <c r="C92" s="1">
        <v>-1.5</v>
      </c>
    </row>
    <row r="93" spans="2:3" x14ac:dyDescent="0.4">
      <c r="B93" s="1" t="s">
        <v>99</v>
      </c>
      <c r="C93" s="1">
        <v>1.1819999999999999</v>
      </c>
    </row>
    <row r="94" spans="2:3" x14ac:dyDescent="0.4">
      <c r="B94" s="1" t="s">
        <v>100</v>
      </c>
      <c r="C94" s="1">
        <v>-1.2253333333333301</v>
      </c>
    </row>
    <row r="95" spans="2:3" x14ac:dyDescent="0.4">
      <c r="B95" s="1" t="s">
        <v>101</v>
      </c>
      <c r="C95" s="1">
        <v>0.88200000000000001</v>
      </c>
    </row>
    <row r="96" spans="2:3" x14ac:dyDescent="0.4">
      <c r="B96" s="1" t="s">
        <v>102</v>
      </c>
      <c r="C96" s="1">
        <v>1.962</v>
      </c>
    </row>
    <row r="97" spans="2:3" x14ac:dyDescent="0.4">
      <c r="B97" s="1" t="s">
        <v>103</v>
      </c>
      <c r="C97" s="1">
        <v>16.119</v>
      </c>
    </row>
    <row r="98" spans="2:3" x14ac:dyDescent="0.4">
      <c r="B98" s="1" t="s">
        <v>104</v>
      </c>
      <c r="C98" s="1">
        <v>0.66200000000000003</v>
      </c>
    </row>
    <row r="99" spans="2:3" x14ac:dyDescent="0.4">
      <c r="B99" s="1" t="s">
        <v>105</v>
      </c>
      <c r="C99" s="1">
        <v>-6.3E-2</v>
      </c>
    </row>
    <row r="100" spans="2:3" x14ac:dyDescent="0.4">
      <c r="B100" s="1" t="s">
        <v>106</v>
      </c>
      <c r="C100" s="1">
        <v>0.76200000000000001</v>
      </c>
    </row>
    <row r="101" spans="2:3" x14ac:dyDescent="0.4">
      <c r="B101" s="1" t="s">
        <v>107</v>
      </c>
      <c r="C101" s="1">
        <v>4.2569999999999997</v>
      </c>
    </row>
    <row r="102" spans="2:3" x14ac:dyDescent="0.4">
      <c r="B102" s="1" t="s">
        <v>108</v>
      </c>
      <c r="C102" s="1">
        <v>0.73550000000000004</v>
      </c>
    </row>
    <row r="103" spans="2:3" x14ac:dyDescent="0.4">
      <c r="B103" s="1" t="s">
        <v>109</v>
      </c>
      <c r="C103" s="1">
        <v>9.202</v>
      </c>
    </row>
    <row r="104" spans="2:3" x14ac:dyDescent="0.4">
      <c r="B104" s="1" t="s">
        <v>110</v>
      </c>
      <c r="C104" s="1">
        <v>-3.3660000000000001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E3FA-C71B-4DB7-8351-C004A5DC9268}">
  <dimension ref="A1:G418"/>
  <sheetViews>
    <sheetView workbookViewId="0">
      <selection sqref="A1:G1048576"/>
    </sheetView>
  </sheetViews>
  <sheetFormatPr defaultRowHeight="13.9" x14ac:dyDescent="0.4"/>
  <sheetData>
    <row r="1" spans="1:7" x14ac:dyDescent="0.4">
      <c r="A1" t="s">
        <v>111</v>
      </c>
      <c r="B1" t="s">
        <v>114</v>
      </c>
      <c r="C1" t="s">
        <v>115</v>
      </c>
      <c r="D1" t="s">
        <v>113</v>
      </c>
      <c r="E1" t="s">
        <v>116</v>
      </c>
      <c r="F1" t="s">
        <v>117</v>
      </c>
    </row>
    <row r="2" spans="1:7" x14ac:dyDescent="0.4">
      <c r="A2" t="s">
        <v>12</v>
      </c>
      <c r="B2">
        <v>2.0886</v>
      </c>
      <c r="C2">
        <v>46.670499999999898</v>
      </c>
      <c r="D2">
        <v>264.83069</v>
      </c>
      <c r="E2">
        <v>-1.7310000000000001</v>
      </c>
      <c r="F2">
        <v>1914</v>
      </c>
      <c r="G2" t="str">
        <f>RIGHT(LEFT(A2,5),4)</f>
        <v>ABAL</v>
      </c>
    </row>
    <row r="3" spans="1:7" x14ac:dyDescent="0.4">
      <c r="A3" t="s">
        <v>12</v>
      </c>
      <c r="B3">
        <v>2.0886</v>
      </c>
      <c r="C3">
        <v>46.670499999999898</v>
      </c>
      <c r="D3">
        <v>264.83069</v>
      </c>
      <c r="E3">
        <v>-1.448</v>
      </c>
      <c r="F3">
        <v>1914</v>
      </c>
      <c r="G3" t="str">
        <f t="shared" ref="G3:G66" si="0">RIGHT(LEFT(A3,5),4)</f>
        <v>ABAL</v>
      </c>
    </row>
    <row r="4" spans="1:7" x14ac:dyDescent="0.4">
      <c r="A4" t="s">
        <v>12</v>
      </c>
      <c r="B4">
        <v>7.0965499999999997</v>
      </c>
      <c r="C4">
        <v>43.006549999999997</v>
      </c>
      <c r="D4" t="s">
        <v>112</v>
      </c>
      <c r="E4">
        <v>-0.78600000000000003</v>
      </c>
      <c r="F4">
        <v>1981</v>
      </c>
      <c r="G4" t="str">
        <f t="shared" si="0"/>
        <v>ABAL</v>
      </c>
    </row>
    <row r="5" spans="1:7" x14ac:dyDescent="0.4">
      <c r="A5" t="s">
        <v>12</v>
      </c>
      <c r="B5">
        <v>2.0886</v>
      </c>
      <c r="C5">
        <v>46.670499999999898</v>
      </c>
      <c r="D5">
        <v>264.83069</v>
      </c>
      <c r="E5">
        <v>-0.61399999999999999</v>
      </c>
      <c r="F5">
        <v>1914</v>
      </c>
      <c r="G5" t="str">
        <f t="shared" si="0"/>
        <v>ABAL</v>
      </c>
    </row>
    <row r="6" spans="1:7" x14ac:dyDescent="0.4">
      <c r="A6" t="s">
        <v>12</v>
      </c>
      <c r="B6">
        <v>13.4633</v>
      </c>
      <c r="C6">
        <v>48.921500000000002</v>
      </c>
      <c r="D6">
        <v>869.87121999999999</v>
      </c>
      <c r="E6">
        <v>-0.45</v>
      </c>
      <c r="F6">
        <v>1902</v>
      </c>
      <c r="G6" t="str">
        <f t="shared" si="0"/>
        <v>ABAL</v>
      </c>
    </row>
    <row r="7" spans="1:7" x14ac:dyDescent="0.4">
      <c r="A7" t="s">
        <v>12</v>
      </c>
      <c r="B7">
        <v>19.6858</v>
      </c>
      <c r="C7">
        <v>48.844700000000003</v>
      </c>
      <c r="D7">
        <v>701.47131000000002</v>
      </c>
      <c r="E7">
        <v>0</v>
      </c>
      <c r="F7">
        <v>1966</v>
      </c>
      <c r="G7" t="str">
        <f t="shared" si="0"/>
        <v>ABAL</v>
      </c>
    </row>
    <row r="8" spans="1:7" x14ac:dyDescent="0.4">
      <c r="A8" t="s">
        <v>12</v>
      </c>
      <c r="B8">
        <v>19.6858</v>
      </c>
      <c r="C8">
        <v>48.844700000000003</v>
      </c>
      <c r="D8">
        <v>701.47131000000002</v>
      </c>
      <c r="E8">
        <v>0.51900000000000002</v>
      </c>
      <c r="F8">
        <v>1966</v>
      </c>
      <c r="G8" t="str">
        <f t="shared" si="0"/>
        <v>ABAL</v>
      </c>
    </row>
    <row r="9" spans="1:7" x14ac:dyDescent="0.4">
      <c r="A9" t="s">
        <v>12</v>
      </c>
      <c r="B9">
        <v>19.6858</v>
      </c>
      <c r="C9">
        <v>48.844700000000003</v>
      </c>
      <c r="D9">
        <v>701.47131000000002</v>
      </c>
      <c r="E9">
        <v>0.65200000000000002</v>
      </c>
      <c r="F9">
        <v>1966</v>
      </c>
      <c r="G9" t="str">
        <f t="shared" si="0"/>
        <v>ABAL</v>
      </c>
    </row>
    <row r="10" spans="1:7" x14ac:dyDescent="0.4">
      <c r="A10" t="s">
        <v>12</v>
      </c>
      <c r="B10">
        <v>5.3539166666666702</v>
      </c>
      <c r="C10">
        <v>45.007733333333299</v>
      </c>
      <c r="D10">
        <v>761.62267999999995</v>
      </c>
      <c r="E10">
        <v>4.1550000000000002</v>
      </c>
      <c r="F10">
        <v>1905</v>
      </c>
      <c r="G10" t="str">
        <f t="shared" si="0"/>
        <v>ABAL</v>
      </c>
    </row>
    <row r="11" spans="1:7" x14ac:dyDescent="0.4">
      <c r="A11" t="s">
        <v>12</v>
      </c>
      <c r="B11">
        <v>10.8605</v>
      </c>
      <c r="C11">
        <v>45.7196</v>
      </c>
      <c r="D11">
        <v>1367.8629000000001</v>
      </c>
      <c r="E11">
        <v>8.9139999999999997</v>
      </c>
      <c r="F11">
        <v>1989</v>
      </c>
      <c r="G11" t="str">
        <f t="shared" si="0"/>
        <v>ABAL</v>
      </c>
    </row>
    <row r="12" spans="1:7" x14ac:dyDescent="0.4">
      <c r="A12" t="s">
        <v>13</v>
      </c>
      <c r="B12">
        <v>-71.156700000000001</v>
      </c>
      <c r="C12">
        <v>45.460099999999898</v>
      </c>
      <c r="D12">
        <v>901.67474000000004</v>
      </c>
      <c r="E12">
        <v>0.25600000000000001</v>
      </c>
      <c r="F12">
        <v>1970</v>
      </c>
      <c r="G12" t="str">
        <f t="shared" si="0"/>
        <v>ABBA</v>
      </c>
    </row>
    <row r="13" spans="1:7" x14ac:dyDescent="0.4">
      <c r="A13" t="s">
        <v>14</v>
      </c>
      <c r="B13">
        <v>-121.3335</v>
      </c>
      <c r="C13">
        <v>38.500700000000002</v>
      </c>
      <c r="D13">
        <v>17.796066</v>
      </c>
      <c r="E13">
        <v>-0.35399999999999998</v>
      </c>
      <c r="F13">
        <v>1930</v>
      </c>
      <c r="G13" t="str">
        <f t="shared" si="0"/>
        <v>ABCO</v>
      </c>
    </row>
    <row r="14" spans="1:7" x14ac:dyDescent="0.4">
      <c r="A14" t="s">
        <v>14</v>
      </c>
      <c r="B14">
        <v>-120.3503</v>
      </c>
      <c r="C14">
        <v>39.061799999999899</v>
      </c>
      <c r="D14">
        <v>1967.6869999999999</v>
      </c>
      <c r="E14">
        <v>0</v>
      </c>
      <c r="F14">
        <v>1934</v>
      </c>
      <c r="G14" t="str">
        <f t="shared" si="0"/>
        <v>ABCO</v>
      </c>
    </row>
    <row r="15" spans="1:7" x14ac:dyDescent="0.4">
      <c r="A15" t="s">
        <v>14</v>
      </c>
      <c r="B15">
        <v>-119.4324</v>
      </c>
      <c r="C15">
        <v>37.261499999999899</v>
      </c>
      <c r="D15">
        <v>1792.5378000000001</v>
      </c>
      <c r="E15">
        <v>1.4430000000000001</v>
      </c>
      <c r="F15">
        <v>1895</v>
      </c>
      <c r="G15" t="str">
        <f t="shared" si="0"/>
        <v>ABCO</v>
      </c>
    </row>
    <row r="16" spans="1:7" x14ac:dyDescent="0.4">
      <c r="A16" t="s">
        <v>14</v>
      </c>
      <c r="B16">
        <v>-116.7925</v>
      </c>
      <c r="C16">
        <v>33.768999999999899</v>
      </c>
      <c r="D16">
        <v>1513.3244999999999</v>
      </c>
      <c r="E16">
        <v>3.1480000000000001</v>
      </c>
      <c r="F16">
        <v>1977</v>
      </c>
      <c r="G16" t="str">
        <f t="shared" si="0"/>
        <v>ABCO</v>
      </c>
    </row>
    <row r="17" spans="1:7" x14ac:dyDescent="0.4">
      <c r="A17" t="s">
        <v>15</v>
      </c>
      <c r="B17">
        <v>-119.4324</v>
      </c>
      <c r="C17">
        <v>37.261499999999899</v>
      </c>
      <c r="D17">
        <v>1792.5378000000001</v>
      </c>
      <c r="E17">
        <v>-1.4350000000000001</v>
      </c>
      <c r="F17">
        <v>1895</v>
      </c>
      <c r="G17" t="str">
        <f t="shared" si="0"/>
        <v>ABGR</v>
      </c>
    </row>
    <row r="18" spans="1:7" x14ac:dyDescent="0.4">
      <c r="A18" t="s">
        <v>17</v>
      </c>
      <c r="B18">
        <v>-119.4324</v>
      </c>
      <c r="C18">
        <v>37.261499999999899</v>
      </c>
      <c r="D18">
        <v>1792.5378000000001</v>
      </c>
      <c r="E18">
        <v>-3.4039999999999999</v>
      </c>
      <c r="F18">
        <v>1895</v>
      </c>
      <c r="G18" t="str">
        <f t="shared" si="0"/>
        <v>ACDE</v>
      </c>
    </row>
    <row r="19" spans="1:7" x14ac:dyDescent="0.4">
      <c r="A19" t="s">
        <v>16</v>
      </c>
      <c r="B19">
        <v>-119.4324</v>
      </c>
      <c r="C19">
        <v>37.261499999999899</v>
      </c>
      <c r="D19">
        <v>1792.5378000000001</v>
      </c>
      <c r="E19">
        <v>0.73499999999999999</v>
      </c>
      <c r="F19">
        <v>1895</v>
      </c>
      <c r="G19" t="str">
        <f t="shared" si="0"/>
        <v>ACCA</v>
      </c>
    </row>
    <row r="20" spans="1:7" x14ac:dyDescent="0.4">
      <c r="A20" t="s">
        <v>20</v>
      </c>
      <c r="B20">
        <v>85.479100000000003</v>
      </c>
      <c r="C20">
        <v>28.114000000000001</v>
      </c>
      <c r="D20">
        <v>4879.3306000000002</v>
      </c>
      <c r="E20">
        <v>-1.3740000000000001</v>
      </c>
      <c r="F20">
        <v>1986</v>
      </c>
      <c r="G20" t="str">
        <f t="shared" si="0"/>
        <v>ACNE</v>
      </c>
    </row>
    <row r="21" spans="1:7" x14ac:dyDescent="0.4">
      <c r="A21" t="s">
        <v>20</v>
      </c>
      <c r="B21">
        <v>88.524900000000002</v>
      </c>
      <c r="C21">
        <v>27.904599999999899</v>
      </c>
      <c r="D21">
        <v>4072.03</v>
      </c>
      <c r="E21">
        <v>4.8150000000000004</v>
      </c>
      <c r="F21">
        <v>1849</v>
      </c>
      <c r="G21" t="str">
        <f t="shared" si="0"/>
        <v>ACNE</v>
      </c>
    </row>
    <row r="22" spans="1:7" x14ac:dyDescent="0.4">
      <c r="A22" t="s">
        <v>20</v>
      </c>
      <c r="B22">
        <v>88.524900000000002</v>
      </c>
      <c r="C22">
        <v>27.904599999999899</v>
      </c>
      <c r="D22">
        <v>4072.03</v>
      </c>
      <c r="E22">
        <v>4.915</v>
      </c>
      <c r="F22">
        <v>1849</v>
      </c>
      <c r="G22" t="str">
        <f t="shared" si="0"/>
        <v>ACNE</v>
      </c>
    </row>
    <row r="23" spans="1:7" x14ac:dyDescent="0.4">
      <c r="A23" t="s">
        <v>20</v>
      </c>
      <c r="B23">
        <v>88.524900000000002</v>
      </c>
      <c r="C23">
        <v>27.904599999999899</v>
      </c>
      <c r="D23">
        <v>4072.03</v>
      </c>
      <c r="E23">
        <v>5.0149999999999997</v>
      </c>
      <c r="F23">
        <v>1849</v>
      </c>
      <c r="G23" t="str">
        <f t="shared" si="0"/>
        <v>ACNE</v>
      </c>
    </row>
    <row r="24" spans="1:7" x14ac:dyDescent="0.4">
      <c r="A24" t="s">
        <v>16</v>
      </c>
      <c r="B24">
        <v>2.0886</v>
      </c>
      <c r="C24">
        <v>46.670499999999898</v>
      </c>
      <c r="D24">
        <v>264.83069</v>
      </c>
      <c r="E24">
        <v>0.317</v>
      </c>
      <c r="F24">
        <v>1914</v>
      </c>
      <c r="G24" t="str">
        <f t="shared" si="0"/>
        <v>ACCA</v>
      </c>
    </row>
    <row r="25" spans="1:7" x14ac:dyDescent="0.4">
      <c r="A25" t="s">
        <v>16</v>
      </c>
      <c r="B25">
        <v>5.3539166666666702</v>
      </c>
      <c r="C25">
        <v>45.007733333333299</v>
      </c>
      <c r="D25">
        <v>761.62267999999995</v>
      </c>
      <c r="E25">
        <v>0.35</v>
      </c>
      <c r="F25">
        <v>1905</v>
      </c>
      <c r="G25" t="str">
        <f t="shared" si="0"/>
        <v>ACCA</v>
      </c>
    </row>
    <row r="26" spans="1:7" x14ac:dyDescent="0.4">
      <c r="A26" t="s">
        <v>16</v>
      </c>
      <c r="B26">
        <v>2.0886</v>
      </c>
      <c r="C26">
        <v>46.670499999999898</v>
      </c>
      <c r="D26">
        <v>264.83069</v>
      </c>
      <c r="E26">
        <v>0.55200000000000005</v>
      </c>
      <c r="F26">
        <v>1914</v>
      </c>
      <c r="G26" t="str">
        <f t="shared" si="0"/>
        <v>ACCA</v>
      </c>
    </row>
    <row r="27" spans="1:7" x14ac:dyDescent="0.4">
      <c r="A27" t="s">
        <v>16</v>
      </c>
      <c r="B27">
        <v>10.8605</v>
      </c>
      <c r="C27">
        <v>45.7196</v>
      </c>
      <c r="D27">
        <v>1367.8629000000001</v>
      </c>
      <c r="E27">
        <v>0.76500000000000001</v>
      </c>
      <c r="F27">
        <v>1989</v>
      </c>
      <c r="G27" t="str">
        <f t="shared" si="0"/>
        <v>ACCA</v>
      </c>
    </row>
    <row r="28" spans="1:7" x14ac:dyDescent="0.4">
      <c r="A28" t="s">
        <v>16</v>
      </c>
      <c r="B28">
        <v>2.0886</v>
      </c>
      <c r="C28">
        <v>46.670499999999898</v>
      </c>
      <c r="D28">
        <v>264.83069</v>
      </c>
      <c r="E28">
        <v>0.94199999999999995</v>
      </c>
      <c r="F28">
        <v>1914</v>
      </c>
      <c r="G28" t="str">
        <f t="shared" si="0"/>
        <v>ACCA</v>
      </c>
    </row>
    <row r="29" spans="1:7" x14ac:dyDescent="0.4">
      <c r="A29" t="s">
        <v>16</v>
      </c>
      <c r="B29">
        <v>7.0965499999999997</v>
      </c>
      <c r="C29">
        <v>43.006549999999997</v>
      </c>
      <c r="D29" t="s">
        <v>112</v>
      </c>
      <c r="E29">
        <v>7.7859999999999996</v>
      </c>
      <c r="F29">
        <v>1981</v>
      </c>
      <c r="G29" t="str">
        <f t="shared" si="0"/>
        <v>ACCA</v>
      </c>
    </row>
    <row r="30" spans="1:7" x14ac:dyDescent="0.4">
      <c r="A30" t="s">
        <v>18</v>
      </c>
      <c r="B30">
        <v>-119.4324</v>
      </c>
      <c r="C30">
        <v>37.261499999999899</v>
      </c>
      <c r="D30">
        <v>1792.5378000000001</v>
      </c>
      <c r="E30">
        <v>-2.9060000000000001</v>
      </c>
      <c r="F30">
        <v>1895</v>
      </c>
      <c r="G30" t="str">
        <f t="shared" si="0"/>
        <v>ACGL</v>
      </c>
    </row>
    <row r="31" spans="1:7" x14ac:dyDescent="0.4">
      <c r="A31" t="s">
        <v>18</v>
      </c>
      <c r="B31">
        <v>-119.4324</v>
      </c>
      <c r="C31">
        <v>37.261499999999899</v>
      </c>
      <c r="D31">
        <v>1792.5378000000001</v>
      </c>
      <c r="E31">
        <v>-2.5459999999999998</v>
      </c>
      <c r="F31">
        <v>1895</v>
      </c>
      <c r="G31" t="str">
        <f t="shared" si="0"/>
        <v>ACGL</v>
      </c>
    </row>
    <row r="32" spans="1:7" x14ac:dyDescent="0.4">
      <c r="A32" t="s">
        <v>18</v>
      </c>
      <c r="B32">
        <v>-119.4324</v>
      </c>
      <c r="C32">
        <v>37.261499999999899</v>
      </c>
      <c r="D32">
        <v>1792.5378000000001</v>
      </c>
      <c r="E32">
        <v>4.1040000000000001</v>
      </c>
      <c r="F32">
        <v>1895</v>
      </c>
      <c r="G32" t="str">
        <f t="shared" si="0"/>
        <v>ACGL</v>
      </c>
    </row>
    <row r="33" spans="1:7" x14ac:dyDescent="0.4">
      <c r="A33" t="s">
        <v>19</v>
      </c>
      <c r="B33">
        <v>5.3539166666666702</v>
      </c>
      <c r="C33">
        <v>45.007733333333299</v>
      </c>
      <c r="D33">
        <v>761.62267999999995</v>
      </c>
      <c r="E33">
        <v>2.6989999999999998</v>
      </c>
      <c r="F33">
        <v>1905</v>
      </c>
      <c r="G33" t="str">
        <f t="shared" si="0"/>
        <v>ACMO</v>
      </c>
    </row>
    <row r="34" spans="1:7" x14ac:dyDescent="0.4">
      <c r="A34" t="s">
        <v>19</v>
      </c>
      <c r="B34">
        <v>7.0965499999999997</v>
      </c>
      <c r="C34">
        <v>43.006549999999997</v>
      </c>
      <c r="D34" t="s">
        <v>112</v>
      </c>
      <c r="E34">
        <v>2.9289999999999998</v>
      </c>
      <c r="F34">
        <v>1981</v>
      </c>
      <c r="G34" t="str">
        <f t="shared" si="0"/>
        <v>ACMO</v>
      </c>
    </row>
    <row r="35" spans="1:7" x14ac:dyDescent="0.4">
      <c r="A35" t="s">
        <v>20</v>
      </c>
      <c r="B35">
        <v>-119.4324</v>
      </c>
      <c r="C35">
        <v>37.261499999999899</v>
      </c>
      <c r="D35">
        <v>1792.5378000000001</v>
      </c>
      <c r="E35">
        <v>2.7469999999999999</v>
      </c>
      <c r="F35">
        <v>1895</v>
      </c>
      <c r="G35" t="str">
        <f t="shared" si="0"/>
        <v>ACNE</v>
      </c>
    </row>
    <row r="36" spans="1:7" x14ac:dyDescent="0.4">
      <c r="A36" t="s">
        <v>20</v>
      </c>
      <c r="B36">
        <v>10.8605</v>
      </c>
      <c r="C36">
        <v>45.7196</v>
      </c>
      <c r="D36">
        <v>1367.8629000000001</v>
      </c>
      <c r="E36">
        <v>35.555999999999997</v>
      </c>
      <c r="F36">
        <v>1989</v>
      </c>
      <c r="G36" t="str">
        <f t="shared" si="0"/>
        <v>ACNE</v>
      </c>
    </row>
    <row r="37" spans="1:7" x14ac:dyDescent="0.4">
      <c r="A37" t="s">
        <v>21</v>
      </c>
      <c r="B37">
        <v>7.0965499999999997</v>
      </c>
      <c r="C37">
        <v>43.006549999999997</v>
      </c>
      <c r="D37" t="s">
        <v>112</v>
      </c>
      <c r="E37">
        <v>0.85699999999999998</v>
      </c>
      <c r="F37">
        <v>1981</v>
      </c>
      <c r="G37" t="str">
        <f t="shared" si="0"/>
        <v>ACOP</v>
      </c>
    </row>
    <row r="38" spans="1:7" x14ac:dyDescent="0.4">
      <c r="A38" t="s">
        <v>21</v>
      </c>
      <c r="B38">
        <v>5.3539166666666702</v>
      </c>
      <c r="C38">
        <v>45.007733333333299</v>
      </c>
      <c r="D38">
        <v>761.62267999999995</v>
      </c>
      <c r="E38">
        <v>2.66</v>
      </c>
      <c r="F38">
        <v>1905</v>
      </c>
      <c r="G38" t="str">
        <f t="shared" si="0"/>
        <v>ACOP</v>
      </c>
    </row>
    <row r="39" spans="1:7" x14ac:dyDescent="0.4">
      <c r="A39" t="s">
        <v>22</v>
      </c>
      <c r="B39">
        <v>13.4633</v>
      </c>
      <c r="C39">
        <v>48.921500000000002</v>
      </c>
      <c r="D39">
        <v>869.87121999999999</v>
      </c>
      <c r="E39">
        <v>-2.2389999999999999</v>
      </c>
      <c r="F39">
        <v>1902</v>
      </c>
      <c r="G39" t="str">
        <f t="shared" si="0"/>
        <v>ACPL</v>
      </c>
    </row>
    <row r="40" spans="1:7" x14ac:dyDescent="0.4">
      <c r="A40" t="s">
        <v>22</v>
      </c>
      <c r="B40">
        <v>2.0886</v>
      </c>
      <c r="C40">
        <v>46.670499999999898</v>
      </c>
      <c r="D40">
        <v>264.83069</v>
      </c>
      <c r="E40">
        <v>0.11700000000000001</v>
      </c>
      <c r="F40">
        <v>1914</v>
      </c>
      <c r="G40" t="str">
        <f t="shared" si="0"/>
        <v>ACPL</v>
      </c>
    </row>
    <row r="41" spans="1:7" x14ac:dyDescent="0.4">
      <c r="A41" t="s">
        <v>22</v>
      </c>
      <c r="B41">
        <v>19.6858</v>
      </c>
      <c r="C41">
        <v>48.844700000000003</v>
      </c>
      <c r="D41">
        <v>701.47131000000002</v>
      </c>
      <c r="E41">
        <v>0.55100000000000005</v>
      </c>
      <c r="F41">
        <v>1966</v>
      </c>
      <c r="G41" t="str">
        <f t="shared" si="0"/>
        <v>ACPL</v>
      </c>
    </row>
    <row r="42" spans="1:7" x14ac:dyDescent="0.4">
      <c r="A42" t="s">
        <v>22</v>
      </c>
      <c r="B42">
        <v>19.6858</v>
      </c>
      <c r="C42">
        <v>48.844700000000003</v>
      </c>
      <c r="D42">
        <v>701.47131000000002</v>
      </c>
      <c r="E42">
        <v>0.90100000000000002</v>
      </c>
      <c r="F42">
        <v>1966</v>
      </c>
      <c r="G42" t="str">
        <f t="shared" si="0"/>
        <v>ACPL</v>
      </c>
    </row>
    <row r="43" spans="1:7" x14ac:dyDescent="0.4">
      <c r="A43" t="s">
        <v>22</v>
      </c>
      <c r="B43">
        <v>19.6858</v>
      </c>
      <c r="C43">
        <v>48.844700000000003</v>
      </c>
      <c r="D43">
        <v>701.47131000000002</v>
      </c>
      <c r="E43">
        <v>1.1879999999999999</v>
      </c>
      <c r="F43">
        <v>1966</v>
      </c>
      <c r="G43" t="str">
        <f t="shared" si="0"/>
        <v>ACPL</v>
      </c>
    </row>
    <row r="44" spans="1:7" x14ac:dyDescent="0.4">
      <c r="A44" t="s">
        <v>22</v>
      </c>
      <c r="B44">
        <v>5.3539166666666702</v>
      </c>
      <c r="C44">
        <v>45.007733333333299</v>
      </c>
      <c r="D44">
        <v>761.62267999999995</v>
      </c>
      <c r="E44">
        <v>2.4079999999999999</v>
      </c>
      <c r="F44">
        <v>1905</v>
      </c>
      <c r="G44" t="str">
        <f t="shared" si="0"/>
        <v>ACPL</v>
      </c>
    </row>
    <row r="45" spans="1:7" x14ac:dyDescent="0.4">
      <c r="A45" t="s">
        <v>22</v>
      </c>
      <c r="B45">
        <v>2.0886</v>
      </c>
      <c r="C45">
        <v>46.670499999999898</v>
      </c>
      <c r="D45">
        <v>264.83069</v>
      </c>
      <c r="E45">
        <v>2.5790000000000002</v>
      </c>
      <c r="F45">
        <v>1914</v>
      </c>
      <c r="G45" t="str">
        <f t="shared" si="0"/>
        <v>ACPL</v>
      </c>
    </row>
    <row r="46" spans="1:7" x14ac:dyDescent="0.4">
      <c r="A46" t="s">
        <v>22</v>
      </c>
      <c r="B46">
        <v>2.0886</v>
      </c>
      <c r="C46">
        <v>46.670499999999898</v>
      </c>
      <c r="D46">
        <v>264.83069</v>
      </c>
      <c r="E46">
        <v>6.4480000000000004</v>
      </c>
      <c r="F46">
        <v>1914</v>
      </c>
      <c r="G46" t="str">
        <f t="shared" si="0"/>
        <v>ACPL</v>
      </c>
    </row>
    <row r="47" spans="1:7" x14ac:dyDescent="0.4">
      <c r="A47" t="s">
        <v>22</v>
      </c>
      <c r="B47">
        <v>10.8605</v>
      </c>
      <c r="C47">
        <v>45.7196</v>
      </c>
      <c r="D47">
        <v>1367.8629000000001</v>
      </c>
      <c r="E47">
        <v>9.8230000000000004</v>
      </c>
      <c r="F47">
        <v>1989</v>
      </c>
      <c r="G47" t="str">
        <f t="shared" si="0"/>
        <v>ACPL</v>
      </c>
    </row>
    <row r="48" spans="1:7" x14ac:dyDescent="0.4">
      <c r="A48" t="s">
        <v>23</v>
      </c>
      <c r="B48">
        <v>19.6858</v>
      </c>
      <c r="C48">
        <v>48.844700000000003</v>
      </c>
      <c r="D48">
        <v>701.47131000000002</v>
      </c>
      <c r="E48">
        <v>-1.304</v>
      </c>
      <c r="F48">
        <v>1966</v>
      </c>
      <c r="G48" t="str">
        <f t="shared" si="0"/>
        <v>ACPS</v>
      </c>
    </row>
    <row r="49" spans="1:7" x14ac:dyDescent="0.4">
      <c r="A49" t="s">
        <v>23</v>
      </c>
      <c r="B49">
        <v>2.0886</v>
      </c>
      <c r="C49">
        <v>46.670499999999898</v>
      </c>
      <c r="D49">
        <v>264.83069</v>
      </c>
      <c r="E49">
        <v>-0.86199999999999999</v>
      </c>
      <c r="F49">
        <v>1914</v>
      </c>
      <c r="G49" t="str">
        <f t="shared" si="0"/>
        <v>ACPS</v>
      </c>
    </row>
    <row r="50" spans="1:7" x14ac:dyDescent="0.4">
      <c r="A50" t="s">
        <v>23</v>
      </c>
      <c r="B50">
        <v>13.4633</v>
      </c>
      <c r="C50">
        <v>48.921500000000002</v>
      </c>
      <c r="D50">
        <v>869.87121999999999</v>
      </c>
      <c r="E50">
        <v>-0.46899999999999997</v>
      </c>
      <c r="F50">
        <v>1902</v>
      </c>
      <c r="G50" t="str">
        <f t="shared" si="0"/>
        <v>ACPS</v>
      </c>
    </row>
    <row r="51" spans="1:7" x14ac:dyDescent="0.4">
      <c r="A51" t="s">
        <v>23</v>
      </c>
      <c r="B51">
        <v>19.6858</v>
      </c>
      <c r="C51">
        <v>48.844700000000003</v>
      </c>
      <c r="D51">
        <v>701.47131000000002</v>
      </c>
      <c r="E51">
        <v>-0.223</v>
      </c>
      <c r="F51">
        <v>1966</v>
      </c>
      <c r="G51" t="str">
        <f t="shared" si="0"/>
        <v>ACPS</v>
      </c>
    </row>
    <row r="52" spans="1:7" x14ac:dyDescent="0.4">
      <c r="A52" t="s">
        <v>23</v>
      </c>
      <c r="B52">
        <v>19.6858</v>
      </c>
      <c r="C52">
        <v>48.844700000000003</v>
      </c>
      <c r="D52">
        <v>701.47131000000002</v>
      </c>
      <c r="E52">
        <v>7.1999999999999995E-2</v>
      </c>
      <c r="F52">
        <v>1966</v>
      </c>
      <c r="G52" t="str">
        <f t="shared" si="0"/>
        <v>ACPS</v>
      </c>
    </row>
    <row r="53" spans="1:7" x14ac:dyDescent="0.4">
      <c r="A53" t="s">
        <v>23</v>
      </c>
      <c r="B53">
        <v>2.0886</v>
      </c>
      <c r="C53">
        <v>46.670499999999898</v>
      </c>
      <c r="D53">
        <v>264.83069</v>
      </c>
      <c r="E53">
        <v>0.124</v>
      </c>
      <c r="F53">
        <v>1914</v>
      </c>
      <c r="G53" t="str">
        <f t="shared" si="0"/>
        <v>ACPS</v>
      </c>
    </row>
    <row r="54" spans="1:7" x14ac:dyDescent="0.4">
      <c r="A54" t="s">
        <v>23</v>
      </c>
      <c r="B54">
        <v>2.0886</v>
      </c>
      <c r="C54">
        <v>46.670499999999898</v>
      </c>
      <c r="D54">
        <v>264.83069</v>
      </c>
      <c r="E54">
        <v>1.2829999999999999</v>
      </c>
      <c r="F54">
        <v>1914</v>
      </c>
      <c r="G54" t="str">
        <f t="shared" si="0"/>
        <v>ACPS</v>
      </c>
    </row>
    <row r="55" spans="1:7" x14ac:dyDescent="0.4">
      <c r="A55" t="s">
        <v>23</v>
      </c>
      <c r="B55">
        <v>5.3539166666666702</v>
      </c>
      <c r="C55">
        <v>45.007733333333299</v>
      </c>
      <c r="D55">
        <v>761.62267999999995</v>
      </c>
      <c r="E55">
        <v>2.66</v>
      </c>
      <c r="F55">
        <v>1905</v>
      </c>
      <c r="G55" t="str">
        <f t="shared" si="0"/>
        <v>ACPS</v>
      </c>
    </row>
    <row r="56" spans="1:7" x14ac:dyDescent="0.4">
      <c r="A56" t="s">
        <v>23</v>
      </c>
      <c r="B56">
        <v>7.0965499999999997</v>
      </c>
      <c r="C56">
        <v>43.006549999999997</v>
      </c>
      <c r="D56" t="s">
        <v>112</v>
      </c>
      <c r="E56">
        <v>4.8570000000000002</v>
      </c>
      <c r="F56">
        <v>1981</v>
      </c>
      <c r="G56" t="str">
        <f t="shared" si="0"/>
        <v>ACPS</v>
      </c>
    </row>
    <row r="57" spans="1:7" x14ac:dyDescent="0.4">
      <c r="A57" t="s">
        <v>23</v>
      </c>
      <c r="B57">
        <v>10.8605</v>
      </c>
      <c r="C57">
        <v>45.7196</v>
      </c>
      <c r="D57">
        <v>1367.8629000000001</v>
      </c>
      <c r="E57">
        <v>6.1040000000000001</v>
      </c>
      <c r="F57">
        <v>1989</v>
      </c>
      <c r="G57" t="str">
        <f t="shared" si="0"/>
        <v>ACPS</v>
      </c>
    </row>
    <row r="58" spans="1:7" x14ac:dyDescent="0.4">
      <c r="A58" t="s">
        <v>24</v>
      </c>
      <c r="B58">
        <v>-71.156700000000001</v>
      </c>
      <c r="C58">
        <v>45.460099999999898</v>
      </c>
      <c r="D58">
        <v>901.67474000000004</v>
      </c>
      <c r="E58">
        <v>-7.0000000000000007E-2</v>
      </c>
      <c r="F58">
        <v>1970</v>
      </c>
      <c r="G58" t="str">
        <f t="shared" si="0"/>
        <v>ACRU</v>
      </c>
    </row>
    <row r="59" spans="1:7" x14ac:dyDescent="0.4">
      <c r="A59" t="s">
        <v>25</v>
      </c>
      <c r="B59">
        <v>-71.156700000000001</v>
      </c>
      <c r="C59">
        <v>45.460099999999898</v>
      </c>
      <c r="D59">
        <v>901.67474000000004</v>
      </c>
      <c r="E59">
        <v>7.0000000000000007E-2</v>
      </c>
      <c r="F59">
        <v>1970</v>
      </c>
      <c r="G59" t="str">
        <f t="shared" si="0"/>
        <v>ACSA</v>
      </c>
    </row>
    <row r="60" spans="1:7" x14ac:dyDescent="0.4">
      <c r="A60" t="s">
        <v>19</v>
      </c>
      <c r="B60">
        <v>10.0448</v>
      </c>
      <c r="C60">
        <v>46.602699999999899</v>
      </c>
      <c r="D60">
        <v>1978.8960999999999</v>
      </c>
      <c r="E60">
        <v>-0.14799999999999999</v>
      </c>
      <c r="F60">
        <v>1912</v>
      </c>
      <c r="G60" t="str">
        <f t="shared" si="0"/>
        <v>ACMO</v>
      </c>
    </row>
    <row r="61" spans="1:7" x14ac:dyDescent="0.4">
      <c r="A61" t="s">
        <v>16</v>
      </c>
      <c r="B61">
        <v>10.8605</v>
      </c>
      <c r="C61">
        <v>45.7196</v>
      </c>
      <c r="D61">
        <v>1367.8629000000001</v>
      </c>
      <c r="E61">
        <v>4.3259999999999996</v>
      </c>
      <c r="F61">
        <v>1989</v>
      </c>
      <c r="G61" t="str">
        <f t="shared" si="0"/>
        <v>ACCA</v>
      </c>
    </row>
    <row r="62" spans="1:7" x14ac:dyDescent="0.4">
      <c r="A62" t="s">
        <v>20</v>
      </c>
      <c r="B62">
        <v>-119.4324</v>
      </c>
      <c r="C62">
        <v>37.261499999999899</v>
      </c>
      <c r="D62">
        <v>1792.5378000000001</v>
      </c>
      <c r="E62">
        <v>3.65</v>
      </c>
      <c r="F62">
        <v>1895</v>
      </c>
      <c r="G62" t="str">
        <f t="shared" si="0"/>
        <v>ACNE</v>
      </c>
    </row>
    <row r="63" spans="1:7" x14ac:dyDescent="0.4">
      <c r="A63" t="s">
        <v>19</v>
      </c>
      <c r="B63">
        <v>-119.4324</v>
      </c>
      <c r="C63">
        <v>37.261499999999899</v>
      </c>
      <c r="D63">
        <v>1792.5378000000001</v>
      </c>
      <c r="E63">
        <v>-1.1240000000000001</v>
      </c>
      <c r="F63">
        <v>1895</v>
      </c>
      <c r="G63" t="str">
        <f t="shared" si="0"/>
        <v>ACMO</v>
      </c>
    </row>
    <row r="64" spans="1:7" x14ac:dyDescent="0.4">
      <c r="A64" t="s">
        <v>17</v>
      </c>
      <c r="B64">
        <v>-119.4324</v>
      </c>
      <c r="C64">
        <v>37.261499999999899</v>
      </c>
      <c r="D64">
        <v>1792.5378000000001</v>
      </c>
      <c r="E64">
        <v>0.78100000000000003</v>
      </c>
      <c r="F64">
        <v>1895</v>
      </c>
      <c r="G64" t="str">
        <f t="shared" si="0"/>
        <v>ACDE</v>
      </c>
    </row>
    <row r="65" spans="1:7" x14ac:dyDescent="0.4">
      <c r="A65" t="s">
        <v>17</v>
      </c>
      <c r="B65">
        <v>-119.4324</v>
      </c>
      <c r="C65">
        <v>37.261499999999899</v>
      </c>
      <c r="D65">
        <v>1792.5378000000001</v>
      </c>
      <c r="E65">
        <v>0.42699999999999999</v>
      </c>
      <c r="F65">
        <v>1895</v>
      </c>
      <c r="G65" t="str">
        <f t="shared" si="0"/>
        <v>ACDE</v>
      </c>
    </row>
    <row r="66" spans="1:7" x14ac:dyDescent="0.4">
      <c r="A66" t="s">
        <v>18</v>
      </c>
      <c r="B66">
        <v>-119.4324</v>
      </c>
      <c r="C66">
        <v>37.261499999999899</v>
      </c>
      <c r="D66">
        <v>1792.5378000000001</v>
      </c>
      <c r="E66">
        <v>-0.74399999999999999</v>
      </c>
      <c r="F66">
        <v>1895</v>
      </c>
      <c r="G66" t="str">
        <f t="shared" si="0"/>
        <v>ACGL</v>
      </c>
    </row>
    <row r="67" spans="1:7" x14ac:dyDescent="0.4">
      <c r="A67" t="s">
        <v>18</v>
      </c>
      <c r="B67">
        <v>-119.4324</v>
      </c>
      <c r="C67">
        <v>37.261499999999899</v>
      </c>
      <c r="D67">
        <v>1792.5378000000001</v>
      </c>
      <c r="E67">
        <v>3.6999999999999998E-2</v>
      </c>
      <c r="F67">
        <v>1895</v>
      </c>
      <c r="G67" t="str">
        <f t="shared" ref="G67:G130" si="1">RIGHT(LEFT(A67,5),4)</f>
        <v>ACGL</v>
      </c>
    </row>
    <row r="68" spans="1:7" x14ac:dyDescent="0.4">
      <c r="A68" t="s">
        <v>18</v>
      </c>
      <c r="B68">
        <v>-119.4324</v>
      </c>
      <c r="C68">
        <v>37.261499999999899</v>
      </c>
      <c r="D68">
        <v>1792.5378000000001</v>
      </c>
      <c r="E68">
        <v>2.206</v>
      </c>
      <c r="F68">
        <v>1895</v>
      </c>
      <c r="G68" t="str">
        <f t="shared" si="1"/>
        <v>ACGL</v>
      </c>
    </row>
    <row r="69" spans="1:7" x14ac:dyDescent="0.4">
      <c r="A69" t="s">
        <v>20</v>
      </c>
      <c r="B69">
        <v>-119.4324</v>
      </c>
      <c r="C69">
        <v>37.261499999999899</v>
      </c>
      <c r="D69">
        <v>1792.5378000000001</v>
      </c>
      <c r="E69">
        <v>-0.67500000000000004</v>
      </c>
      <c r="F69">
        <v>1895</v>
      </c>
      <c r="G69" t="str">
        <f t="shared" si="1"/>
        <v>ACNE</v>
      </c>
    </row>
    <row r="70" spans="1:7" x14ac:dyDescent="0.4">
      <c r="A70" t="s">
        <v>20</v>
      </c>
      <c r="B70">
        <v>-119.4324</v>
      </c>
      <c r="C70">
        <v>37.261499999999899</v>
      </c>
      <c r="D70">
        <v>1792.5378000000001</v>
      </c>
      <c r="E70">
        <v>0.45100000000000001</v>
      </c>
      <c r="F70">
        <v>1895</v>
      </c>
      <c r="G70" t="str">
        <f t="shared" si="1"/>
        <v>ACNE</v>
      </c>
    </row>
    <row r="71" spans="1:7" x14ac:dyDescent="0.4">
      <c r="A71" t="s">
        <v>20</v>
      </c>
      <c r="B71">
        <v>-119.4324</v>
      </c>
      <c r="C71">
        <v>37.261499999999899</v>
      </c>
      <c r="D71">
        <v>1792.5378000000001</v>
      </c>
      <c r="E71">
        <v>4.0529999999999999</v>
      </c>
      <c r="F71">
        <v>1895</v>
      </c>
      <c r="G71" t="str">
        <f t="shared" si="1"/>
        <v>ACNE</v>
      </c>
    </row>
    <row r="72" spans="1:7" x14ac:dyDescent="0.4">
      <c r="A72" t="s">
        <v>17</v>
      </c>
      <c r="B72">
        <v>10.8605</v>
      </c>
      <c r="C72">
        <v>45.7196</v>
      </c>
      <c r="D72">
        <v>1367.8629000000001</v>
      </c>
      <c r="E72">
        <v>40.085999999999999</v>
      </c>
      <c r="F72">
        <v>1989</v>
      </c>
      <c r="G72" t="str">
        <f t="shared" si="1"/>
        <v>ACDE</v>
      </c>
    </row>
    <row r="73" spans="1:7" x14ac:dyDescent="0.4">
      <c r="A73" t="s">
        <v>24</v>
      </c>
      <c r="B73">
        <v>-119.4324</v>
      </c>
      <c r="C73">
        <v>37.261499999999899</v>
      </c>
      <c r="D73">
        <v>1792.5378000000001</v>
      </c>
      <c r="E73">
        <v>3.294</v>
      </c>
      <c r="F73">
        <v>1895</v>
      </c>
      <c r="G73" t="str">
        <f t="shared" si="1"/>
        <v>ACRU</v>
      </c>
    </row>
    <row r="74" spans="1:7" x14ac:dyDescent="0.4">
      <c r="A74" t="s">
        <v>26</v>
      </c>
      <c r="B74">
        <v>-119.4324</v>
      </c>
      <c r="C74">
        <v>37.261499999999899</v>
      </c>
      <c r="D74">
        <v>1792.5378000000001</v>
      </c>
      <c r="E74">
        <v>-0.96599999999999997</v>
      </c>
      <c r="F74">
        <v>1895</v>
      </c>
      <c r="G74" t="str">
        <f t="shared" si="1"/>
        <v>ADFA</v>
      </c>
    </row>
    <row r="75" spans="1:7" x14ac:dyDescent="0.4">
      <c r="A75" t="s">
        <v>26</v>
      </c>
      <c r="B75">
        <v>-121.3335</v>
      </c>
      <c r="C75">
        <v>38.500700000000002</v>
      </c>
      <c r="D75">
        <v>17.796066</v>
      </c>
      <c r="E75">
        <v>-0.182</v>
      </c>
      <c r="F75">
        <v>1930</v>
      </c>
      <c r="G75" t="str">
        <f t="shared" si="1"/>
        <v>ADFA</v>
      </c>
    </row>
    <row r="76" spans="1:7" x14ac:dyDescent="0.4">
      <c r="A76" t="s">
        <v>26</v>
      </c>
      <c r="B76">
        <v>-119.4324</v>
      </c>
      <c r="C76">
        <v>37.261499999999899</v>
      </c>
      <c r="D76">
        <v>1792.5378000000001</v>
      </c>
      <c r="E76">
        <v>2.8639999999999999</v>
      </c>
      <c r="F76">
        <v>1895</v>
      </c>
      <c r="G76" t="str">
        <f t="shared" si="1"/>
        <v>ADFA</v>
      </c>
    </row>
    <row r="77" spans="1:7" x14ac:dyDescent="0.4">
      <c r="A77" t="s">
        <v>27</v>
      </c>
      <c r="B77">
        <v>-119.4324</v>
      </c>
      <c r="C77">
        <v>37.261499999999899</v>
      </c>
      <c r="D77">
        <v>1792.5378000000001</v>
      </c>
      <c r="E77">
        <v>-1.544</v>
      </c>
      <c r="F77">
        <v>1895</v>
      </c>
      <c r="G77" t="str">
        <f t="shared" si="1"/>
        <v>ADSP</v>
      </c>
    </row>
    <row r="78" spans="1:7" x14ac:dyDescent="0.4">
      <c r="A78" t="s">
        <v>28</v>
      </c>
      <c r="B78">
        <v>10.8605</v>
      </c>
      <c r="C78">
        <v>45.7196</v>
      </c>
      <c r="D78">
        <v>1367.8629000000001</v>
      </c>
      <c r="E78">
        <v>10.298</v>
      </c>
      <c r="F78">
        <v>1989</v>
      </c>
      <c r="G78" t="str">
        <f t="shared" si="1"/>
        <v>ALGL</v>
      </c>
    </row>
    <row r="79" spans="1:7" x14ac:dyDescent="0.4">
      <c r="A79" t="s">
        <v>28</v>
      </c>
      <c r="B79">
        <v>10.8605</v>
      </c>
      <c r="C79">
        <v>45.7196</v>
      </c>
      <c r="D79">
        <v>1367.8629000000001</v>
      </c>
      <c r="E79">
        <v>-2.117</v>
      </c>
      <c r="F79">
        <v>1989</v>
      </c>
      <c r="G79" t="str">
        <f t="shared" si="1"/>
        <v>ALGL</v>
      </c>
    </row>
    <row r="80" spans="1:7" x14ac:dyDescent="0.4">
      <c r="A80" t="s">
        <v>29</v>
      </c>
      <c r="B80">
        <v>-119.4324</v>
      </c>
      <c r="C80">
        <v>37.261499999999899</v>
      </c>
      <c r="D80">
        <v>1792.5378000000001</v>
      </c>
      <c r="E80">
        <v>-0.33700000000000002</v>
      </c>
      <c r="F80">
        <v>1895</v>
      </c>
      <c r="G80" t="str">
        <f t="shared" si="1"/>
        <v>ALIN</v>
      </c>
    </row>
    <row r="81" spans="1:7" x14ac:dyDescent="0.4">
      <c r="A81" t="s">
        <v>29</v>
      </c>
      <c r="B81">
        <v>-119.4324</v>
      </c>
      <c r="C81">
        <v>37.261499999999899</v>
      </c>
      <c r="D81">
        <v>1792.5378000000001</v>
      </c>
      <c r="E81">
        <v>0.71299999999999997</v>
      </c>
      <c r="F81">
        <v>1895</v>
      </c>
      <c r="G81" t="str">
        <f t="shared" si="1"/>
        <v>ALIN</v>
      </c>
    </row>
    <row r="82" spans="1:7" x14ac:dyDescent="0.4">
      <c r="A82" t="s">
        <v>28</v>
      </c>
      <c r="B82">
        <v>-119.4324</v>
      </c>
      <c r="C82">
        <v>37.261499999999899</v>
      </c>
      <c r="D82">
        <v>1792.5378000000001</v>
      </c>
      <c r="E82">
        <v>-0.307</v>
      </c>
      <c r="F82">
        <v>1895</v>
      </c>
      <c r="G82" t="str">
        <f t="shared" si="1"/>
        <v>ALGL</v>
      </c>
    </row>
    <row r="83" spans="1:7" x14ac:dyDescent="0.4">
      <c r="A83" t="s">
        <v>29</v>
      </c>
      <c r="B83">
        <v>-119.4324</v>
      </c>
      <c r="C83">
        <v>37.261499999999899</v>
      </c>
      <c r="D83">
        <v>1792.5378000000001</v>
      </c>
      <c r="E83">
        <v>1.157</v>
      </c>
      <c r="F83">
        <v>1895</v>
      </c>
      <c r="G83" t="str">
        <f t="shared" si="1"/>
        <v>ALIN</v>
      </c>
    </row>
    <row r="84" spans="1:7" x14ac:dyDescent="0.4">
      <c r="A84" t="s">
        <v>28</v>
      </c>
      <c r="B84">
        <v>13.4633</v>
      </c>
      <c r="C84">
        <v>48.921500000000002</v>
      </c>
      <c r="D84">
        <v>869.87121999999999</v>
      </c>
      <c r="E84">
        <v>0.76600000000000001</v>
      </c>
      <c r="F84">
        <v>1902</v>
      </c>
      <c r="G84" t="str">
        <f t="shared" si="1"/>
        <v>ALGL</v>
      </c>
    </row>
    <row r="85" spans="1:7" x14ac:dyDescent="0.4">
      <c r="A85" t="s">
        <v>28</v>
      </c>
      <c r="B85">
        <v>10.8605</v>
      </c>
      <c r="C85">
        <v>45.7196</v>
      </c>
      <c r="D85">
        <v>1367.8629000000001</v>
      </c>
      <c r="E85">
        <v>4.8259999999999996</v>
      </c>
      <c r="F85">
        <v>1989</v>
      </c>
      <c r="G85" t="str">
        <f t="shared" si="1"/>
        <v>ALGL</v>
      </c>
    </row>
    <row r="86" spans="1:7" x14ac:dyDescent="0.4">
      <c r="A86" t="s">
        <v>29</v>
      </c>
      <c r="B86">
        <v>-119.4324</v>
      </c>
      <c r="C86">
        <v>37.261499999999899</v>
      </c>
      <c r="D86">
        <v>1792.5378000000001</v>
      </c>
      <c r="E86">
        <v>4.4390000000000001</v>
      </c>
      <c r="F86">
        <v>1895</v>
      </c>
      <c r="G86" t="str">
        <f t="shared" si="1"/>
        <v>ALIN</v>
      </c>
    </row>
    <row r="87" spans="1:7" x14ac:dyDescent="0.4">
      <c r="A87" t="s">
        <v>29</v>
      </c>
      <c r="B87">
        <v>10.8605</v>
      </c>
      <c r="C87">
        <v>45.7196</v>
      </c>
      <c r="D87">
        <v>1367.8629000000001</v>
      </c>
      <c r="E87">
        <v>7.28</v>
      </c>
      <c r="F87">
        <v>1989</v>
      </c>
      <c r="G87" t="str">
        <f t="shared" si="1"/>
        <v>ALIN</v>
      </c>
    </row>
    <row r="88" spans="1:7" x14ac:dyDescent="0.4">
      <c r="A88" t="s">
        <v>30</v>
      </c>
      <c r="B88">
        <v>-119.4324</v>
      </c>
      <c r="C88">
        <v>37.261499999999899</v>
      </c>
      <c r="D88">
        <v>1792.5378000000001</v>
      </c>
      <c r="E88">
        <v>-1.8420000000000001</v>
      </c>
      <c r="F88">
        <v>1895</v>
      </c>
      <c r="G88" t="str">
        <f t="shared" si="1"/>
        <v>ALRH</v>
      </c>
    </row>
    <row r="89" spans="1:7" x14ac:dyDescent="0.4">
      <c r="A89" t="s">
        <v>31</v>
      </c>
      <c r="B89">
        <v>-119.4324</v>
      </c>
      <c r="C89">
        <v>37.261499999999899</v>
      </c>
      <c r="D89">
        <v>1792.5378000000001</v>
      </c>
      <c r="E89">
        <v>2.367</v>
      </c>
      <c r="F89">
        <v>1895</v>
      </c>
      <c r="G89" t="str">
        <f t="shared" si="1"/>
        <v>ALRU</v>
      </c>
    </row>
    <row r="90" spans="1:7" x14ac:dyDescent="0.4">
      <c r="A90" t="s">
        <v>34</v>
      </c>
      <c r="B90">
        <v>-119.4324</v>
      </c>
      <c r="C90">
        <v>37.261499999999899</v>
      </c>
      <c r="D90">
        <v>1792.5378000000001</v>
      </c>
      <c r="E90">
        <v>0.249</v>
      </c>
      <c r="F90">
        <v>1895</v>
      </c>
      <c r="G90" t="str">
        <f t="shared" si="1"/>
        <v>BEPE</v>
      </c>
    </row>
    <row r="91" spans="1:7" x14ac:dyDescent="0.4">
      <c r="A91" t="s">
        <v>34</v>
      </c>
      <c r="B91">
        <v>10.8605</v>
      </c>
      <c r="C91">
        <v>45.7196</v>
      </c>
      <c r="D91">
        <v>1367.8629000000001</v>
      </c>
      <c r="E91">
        <v>0.53100000000000003</v>
      </c>
      <c r="F91">
        <v>1989</v>
      </c>
      <c r="G91" t="str">
        <f t="shared" si="1"/>
        <v>BEPE</v>
      </c>
    </row>
    <row r="92" spans="1:7" x14ac:dyDescent="0.4">
      <c r="A92" t="s">
        <v>32</v>
      </c>
      <c r="B92">
        <v>-119.4324</v>
      </c>
      <c r="C92">
        <v>37.261499999999899</v>
      </c>
      <c r="D92">
        <v>1792.5378000000001</v>
      </c>
      <c r="E92">
        <v>1.7789999999999999</v>
      </c>
      <c r="F92">
        <v>1895</v>
      </c>
      <c r="G92" t="str">
        <f t="shared" si="1"/>
        <v>BEOC</v>
      </c>
    </row>
    <row r="93" spans="1:7" x14ac:dyDescent="0.4">
      <c r="A93" t="s">
        <v>33</v>
      </c>
      <c r="B93">
        <v>-71.156700000000001</v>
      </c>
      <c r="C93">
        <v>45.460099999999898</v>
      </c>
      <c r="D93">
        <v>901.67474000000004</v>
      </c>
      <c r="E93">
        <v>1.698</v>
      </c>
      <c r="F93">
        <v>1970</v>
      </c>
      <c r="G93" t="str">
        <f t="shared" si="1"/>
        <v>BEPA</v>
      </c>
    </row>
    <row r="94" spans="1:7" x14ac:dyDescent="0.4">
      <c r="A94" t="s">
        <v>34</v>
      </c>
      <c r="B94">
        <v>10.8605</v>
      </c>
      <c r="C94">
        <v>45.7196</v>
      </c>
      <c r="D94">
        <v>1367.8629000000001</v>
      </c>
      <c r="E94">
        <v>-0.64400000000000002</v>
      </c>
      <c r="F94">
        <v>1989</v>
      </c>
      <c r="G94" t="str">
        <f t="shared" si="1"/>
        <v>BEPE</v>
      </c>
    </row>
    <row r="95" spans="1:7" x14ac:dyDescent="0.4">
      <c r="A95" t="s">
        <v>34</v>
      </c>
      <c r="B95">
        <v>2.0886</v>
      </c>
      <c r="C95">
        <v>46.670499999999898</v>
      </c>
      <c r="D95">
        <v>264.83069</v>
      </c>
      <c r="E95">
        <v>-0.58599999999999997</v>
      </c>
      <c r="F95">
        <v>1914</v>
      </c>
      <c r="G95" t="str">
        <f t="shared" si="1"/>
        <v>BEPE</v>
      </c>
    </row>
    <row r="96" spans="1:7" x14ac:dyDescent="0.4">
      <c r="A96" t="s">
        <v>34</v>
      </c>
      <c r="B96">
        <v>2.0886</v>
      </c>
      <c r="C96">
        <v>46.670499999999898</v>
      </c>
      <c r="D96">
        <v>264.83069</v>
      </c>
      <c r="E96">
        <v>-0.14799999999999999</v>
      </c>
      <c r="F96">
        <v>1914</v>
      </c>
      <c r="G96" t="str">
        <f t="shared" si="1"/>
        <v>BEPE</v>
      </c>
    </row>
    <row r="97" spans="1:7" x14ac:dyDescent="0.4">
      <c r="A97" t="s">
        <v>34</v>
      </c>
      <c r="B97">
        <v>2.0886</v>
      </c>
      <c r="C97">
        <v>46.670499999999898</v>
      </c>
      <c r="D97">
        <v>264.83069</v>
      </c>
      <c r="E97">
        <v>2.069</v>
      </c>
      <c r="F97">
        <v>1914</v>
      </c>
      <c r="G97" t="str">
        <f t="shared" si="1"/>
        <v>BEPE</v>
      </c>
    </row>
    <row r="98" spans="1:7" x14ac:dyDescent="0.4">
      <c r="A98" t="s">
        <v>34</v>
      </c>
      <c r="B98">
        <v>13.4633</v>
      </c>
      <c r="C98">
        <v>48.921500000000002</v>
      </c>
      <c r="D98">
        <v>869.87121999999999</v>
      </c>
      <c r="E98">
        <v>2.258</v>
      </c>
      <c r="F98">
        <v>1902</v>
      </c>
      <c r="G98" t="str">
        <f t="shared" si="1"/>
        <v>BEPE</v>
      </c>
    </row>
    <row r="99" spans="1:7" x14ac:dyDescent="0.4">
      <c r="A99" t="s">
        <v>34</v>
      </c>
      <c r="B99">
        <v>7.0965499999999997</v>
      </c>
      <c r="C99">
        <v>43.006549999999997</v>
      </c>
      <c r="D99" t="s">
        <v>112</v>
      </c>
      <c r="E99">
        <v>7.6429999999999998</v>
      </c>
      <c r="F99">
        <v>1981</v>
      </c>
      <c r="G99" t="str">
        <f t="shared" si="1"/>
        <v>BEPE</v>
      </c>
    </row>
    <row r="100" spans="1:7" x14ac:dyDescent="0.4">
      <c r="A100" t="s">
        <v>36</v>
      </c>
      <c r="B100">
        <v>-121.3335</v>
      </c>
      <c r="C100">
        <v>38.500700000000002</v>
      </c>
      <c r="D100">
        <v>17.796066</v>
      </c>
      <c r="E100">
        <v>-1.127</v>
      </c>
      <c r="F100">
        <v>1930</v>
      </c>
      <c r="G100" t="str">
        <f t="shared" si="1"/>
        <v>CADE</v>
      </c>
    </row>
    <row r="101" spans="1:7" x14ac:dyDescent="0.4">
      <c r="A101" t="s">
        <v>36</v>
      </c>
      <c r="B101">
        <v>-119.4324</v>
      </c>
      <c r="C101">
        <v>37.261499999999899</v>
      </c>
      <c r="D101">
        <v>1792.5378000000001</v>
      </c>
      <c r="E101">
        <v>-0.72899999999999998</v>
      </c>
      <c r="F101">
        <v>1895</v>
      </c>
      <c r="G101" t="str">
        <f t="shared" si="1"/>
        <v>CADE</v>
      </c>
    </row>
    <row r="102" spans="1:7" x14ac:dyDescent="0.4">
      <c r="A102" t="s">
        <v>36</v>
      </c>
      <c r="B102">
        <v>-120.3503</v>
      </c>
      <c r="C102">
        <v>39.061799999999899</v>
      </c>
      <c r="D102">
        <v>1967.6869999999999</v>
      </c>
      <c r="E102">
        <v>0</v>
      </c>
      <c r="F102">
        <v>1934</v>
      </c>
      <c r="G102" t="str">
        <f t="shared" si="1"/>
        <v>CADE</v>
      </c>
    </row>
    <row r="103" spans="1:7" x14ac:dyDescent="0.4">
      <c r="A103" t="s">
        <v>36</v>
      </c>
      <c r="B103">
        <v>11.3355999999999</v>
      </c>
      <c r="C103">
        <v>46.9102999999999</v>
      </c>
      <c r="D103">
        <v>1793.2164</v>
      </c>
      <c r="E103">
        <v>-3.383</v>
      </c>
      <c r="F103">
        <v>1970</v>
      </c>
      <c r="G103" t="str">
        <f t="shared" si="1"/>
        <v>CADE</v>
      </c>
    </row>
    <row r="104" spans="1:7" x14ac:dyDescent="0.4">
      <c r="A104" t="s">
        <v>36</v>
      </c>
      <c r="B104">
        <v>11.3355999999999</v>
      </c>
      <c r="C104">
        <v>46.9102999999999</v>
      </c>
      <c r="D104">
        <v>1793.2164</v>
      </c>
      <c r="E104">
        <v>-0.72299999999999998</v>
      </c>
      <c r="F104">
        <v>1970</v>
      </c>
      <c r="G104" t="str">
        <f t="shared" si="1"/>
        <v>CADE</v>
      </c>
    </row>
    <row r="105" spans="1:7" x14ac:dyDescent="0.4">
      <c r="A105" t="s">
        <v>36</v>
      </c>
      <c r="B105">
        <v>11.3355999999999</v>
      </c>
      <c r="C105">
        <v>46.9102999999999</v>
      </c>
      <c r="D105">
        <v>1793.2164</v>
      </c>
      <c r="E105">
        <v>0</v>
      </c>
      <c r="F105">
        <v>1970</v>
      </c>
      <c r="G105" t="str">
        <f t="shared" si="1"/>
        <v>CADE</v>
      </c>
    </row>
    <row r="106" spans="1:7" x14ac:dyDescent="0.4">
      <c r="A106" t="s">
        <v>36</v>
      </c>
      <c r="B106">
        <v>10.8605</v>
      </c>
      <c r="C106">
        <v>45.7196</v>
      </c>
      <c r="D106">
        <v>1367.8629000000001</v>
      </c>
      <c r="E106">
        <v>4.0629999999999997</v>
      </c>
      <c r="F106">
        <v>1989</v>
      </c>
      <c r="G106" t="str">
        <f t="shared" si="1"/>
        <v>CADE</v>
      </c>
    </row>
    <row r="107" spans="1:7" x14ac:dyDescent="0.4">
      <c r="A107" t="s">
        <v>36</v>
      </c>
      <c r="B107">
        <v>-119.4324</v>
      </c>
      <c r="C107">
        <v>37.261499999999899</v>
      </c>
      <c r="D107">
        <v>1792.5378000000001</v>
      </c>
      <c r="E107">
        <v>4.8949999999999996</v>
      </c>
      <c r="F107">
        <v>1895</v>
      </c>
      <c r="G107" t="str">
        <f t="shared" si="1"/>
        <v>CADE</v>
      </c>
    </row>
    <row r="108" spans="1:7" x14ac:dyDescent="0.4">
      <c r="A108" t="s">
        <v>35</v>
      </c>
      <c r="B108">
        <v>2.0886</v>
      </c>
      <c r="C108">
        <v>46.670499999999898</v>
      </c>
      <c r="D108">
        <v>264.83069</v>
      </c>
      <c r="E108">
        <v>-0.41399999999999998</v>
      </c>
      <c r="F108">
        <v>1914</v>
      </c>
      <c r="G108" t="str">
        <f t="shared" si="1"/>
        <v>CABE</v>
      </c>
    </row>
    <row r="109" spans="1:7" x14ac:dyDescent="0.4">
      <c r="A109" t="s">
        <v>35</v>
      </c>
      <c r="B109">
        <v>19.6858</v>
      </c>
      <c r="C109">
        <v>48.844700000000003</v>
      </c>
      <c r="D109">
        <v>701.47131000000002</v>
      </c>
      <c r="E109">
        <v>-0.217</v>
      </c>
      <c r="F109">
        <v>1966</v>
      </c>
      <c r="G109" t="str">
        <f t="shared" si="1"/>
        <v>CABE</v>
      </c>
    </row>
    <row r="110" spans="1:7" x14ac:dyDescent="0.4">
      <c r="A110" t="s">
        <v>35</v>
      </c>
      <c r="B110">
        <v>19.6858</v>
      </c>
      <c r="C110">
        <v>48.844700000000003</v>
      </c>
      <c r="D110">
        <v>701.47131000000002</v>
      </c>
      <c r="E110">
        <v>-1.2E-2</v>
      </c>
      <c r="F110">
        <v>1966</v>
      </c>
      <c r="G110" t="str">
        <f t="shared" si="1"/>
        <v>CABE</v>
      </c>
    </row>
    <row r="111" spans="1:7" x14ac:dyDescent="0.4">
      <c r="A111" t="s">
        <v>35</v>
      </c>
      <c r="B111">
        <v>2.0886</v>
      </c>
      <c r="C111">
        <v>46.670499999999898</v>
      </c>
      <c r="D111">
        <v>264.83069</v>
      </c>
      <c r="E111">
        <v>2.4E-2</v>
      </c>
      <c r="F111">
        <v>1914</v>
      </c>
      <c r="G111" t="str">
        <f t="shared" si="1"/>
        <v>CABE</v>
      </c>
    </row>
    <row r="112" spans="1:7" x14ac:dyDescent="0.4">
      <c r="A112" t="s">
        <v>35</v>
      </c>
      <c r="B112">
        <v>2.0886</v>
      </c>
      <c r="C112">
        <v>46.670499999999898</v>
      </c>
      <c r="D112">
        <v>264.83069</v>
      </c>
      <c r="E112">
        <v>0.10299999999999999</v>
      </c>
      <c r="F112">
        <v>1914</v>
      </c>
      <c r="G112" t="str">
        <f t="shared" si="1"/>
        <v>CABE</v>
      </c>
    </row>
    <row r="113" spans="1:7" x14ac:dyDescent="0.4">
      <c r="A113" t="s">
        <v>35</v>
      </c>
      <c r="B113">
        <v>19.6858</v>
      </c>
      <c r="C113">
        <v>48.844700000000003</v>
      </c>
      <c r="D113">
        <v>701.47131000000002</v>
      </c>
      <c r="E113">
        <v>0.59399999999999997</v>
      </c>
      <c r="F113">
        <v>1966</v>
      </c>
      <c r="G113" t="str">
        <f t="shared" si="1"/>
        <v>CABE</v>
      </c>
    </row>
    <row r="114" spans="1:7" x14ac:dyDescent="0.4">
      <c r="A114" t="s">
        <v>35</v>
      </c>
      <c r="B114">
        <v>5.3539166666666702</v>
      </c>
      <c r="C114">
        <v>45.007733333333299</v>
      </c>
      <c r="D114">
        <v>761.62267999999995</v>
      </c>
      <c r="E114">
        <v>1.3009999999999999</v>
      </c>
      <c r="F114">
        <v>1905</v>
      </c>
      <c r="G114" t="str">
        <f t="shared" si="1"/>
        <v>CABE</v>
      </c>
    </row>
    <row r="115" spans="1:7" x14ac:dyDescent="0.4">
      <c r="A115" t="s">
        <v>35</v>
      </c>
      <c r="B115">
        <v>10.8605</v>
      </c>
      <c r="C115">
        <v>45.7196</v>
      </c>
      <c r="D115">
        <v>1367.8629000000001</v>
      </c>
      <c r="E115">
        <v>2.3359999999999999</v>
      </c>
      <c r="F115">
        <v>1989</v>
      </c>
      <c r="G115" t="str">
        <f t="shared" si="1"/>
        <v>CABE</v>
      </c>
    </row>
    <row r="116" spans="1:7" x14ac:dyDescent="0.4">
      <c r="A116" t="s">
        <v>36</v>
      </c>
      <c r="B116">
        <v>-119.4324</v>
      </c>
      <c r="C116">
        <v>37.261499999999899</v>
      </c>
      <c r="D116">
        <v>1792.5378000000001</v>
      </c>
      <c r="E116">
        <v>-7.3860000000000001</v>
      </c>
      <c r="F116">
        <v>1895</v>
      </c>
      <c r="G116" t="str">
        <f t="shared" si="1"/>
        <v>CADE</v>
      </c>
    </row>
    <row r="117" spans="1:7" x14ac:dyDescent="0.4">
      <c r="A117" t="s">
        <v>36</v>
      </c>
      <c r="B117">
        <v>-119.4324</v>
      </c>
      <c r="C117">
        <v>37.261499999999899</v>
      </c>
      <c r="D117">
        <v>1792.5378000000001</v>
      </c>
      <c r="E117">
        <v>2.54</v>
      </c>
      <c r="F117">
        <v>1895</v>
      </c>
      <c r="G117" t="str">
        <f t="shared" si="1"/>
        <v>CADE</v>
      </c>
    </row>
    <row r="118" spans="1:7" x14ac:dyDescent="0.4">
      <c r="A118" t="s">
        <v>36</v>
      </c>
      <c r="B118">
        <v>-119.4324</v>
      </c>
      <c r="C118">
        <v>37.261499999999899</v>
      </c>
      <c r="D118">
        <v>1792.5378000000001</v>
      </c>
      <c r="E118">
        <v>4.5380000000000003</v>
      </c>
      <c r="F118">
        <v>1895</v>
      </c>
      <c r="G118" t="str">
        <f t="shared" si="1"/>
        <v>CADE</v>
      </c>
    </row>
    <row r="119" spans="1:7" x14ac:dyDescent="0.4">
      <c r="A119" t="s">
        <v>37</v>
      </c>
      <c r="B119">
        <v>7.0965499999999997</v>
      </c>
      <c r="C119">
        <v>43.006549999999997</v>
      </c>
      <c r="D119" t="s">
        <v>112</v>
      </c>
      <c r="E119">
        <v>0.42899999999999999</v>
      </c>
      <c r="F119">
        <v>1981</v>
      </c>
      <c r="G119" t="str">
        <f t="shared" si="1"/>
        <v>CEAT</v>
      </c>
    </row>
    <row r="120" spans="1:7" x14ac:dyDescent="0.4">
      <c r="A120" t="s">
        <v>38</v>
      </c>
      <c r="B120">
        <v>-119.4324</v>
      </c>
      <c r="C120">
        <v>37.261499999999899</v>
      </c>
      <c r="D120">
        <v>1792.5378000000001</v>
      </c>
      <c r="E120">
        <v>5.0449999999999999</v>
      </c>
      <c r="F120">
        <v>1895</v>
      </c>
      <c r="G120" t="str">
        <f t="shared" si="1"/>
        <v>CEBE</v>
      </c>
    </row>
    <row r="121" spans="1:7" x14ac:dyDescent="0.4">
      <c r="A121" t="s">
        <v>38</v>
      </c>
      <c r="B121">
        <v>-119.4324</v>
      </c>
      <c r="C121">
        <v>37.261499999999899</v>
      </c>
      <c r="D121">
        <v>1792.5378000000001</v>
      </c>
      <c r="E121">
        <v>2.242</v>
      </c>
      <c r="F121">
        <v>1895</v>
      </c>
      <c r="G121" t="str">
        <f t="shared" si="1"/>
        <v>CEBE</v>
      </c>
    </row>
    <row r="122" spans="1:7" x14ac:dyDescent="0.4">
      <c r="A122" t="s">
        <v>38</v>
      </c>
      <c r="B122">
        <v>-119.4324</v>
      </c>
      <c r="C122">
        <v>37.261499999999899</v>
      </c>
      <c r="D122">
        <v>1792.5378000000001</v>
      </c>
      <c r="E122">
        <v>2.552</v>
      </c>
      <c r="F122">
        <v>1895</v>
      </c>
      <c r="G122" t="str">
        <f t="shared" si="1"/>
        <v>CEBE</v>
      </c>
    </row>
    <row r="123" spans="1:7" x14ac:dyDescent="0.4">
      <c r="A123" t="s">
        <v>39</v>
      </c>
      <c r="B123">
        <v>-119.4324</v>
      </c>
      <c r="C123">
        <v>37.261499999999899</v>
      </c>
      <c r="D123">
        <v>1792.5378000000001</v>
      </c>
      <c r="E123">
        <v>0.85199999999999998</v>
      </c>
      <c r="F123">
        <v>1895</v>
      </c>
      <c r="G123" t="str">
        <f t="shared" si="1"/>
        <v>CHLA</v>
      </c>
    </row>
    <row r="124" spans="1:7" x14ac:dyDescent="0.4">
      <c r="A124" t="s">
        <v>40</v>
      </c>
      <c r="B124">
        <v>10.8605</v>
      </c>
      <c r="C124">
        <v>45.7196</v>
      </c>
      <c r="D124">
        <v>1367.8629000000001</v>
      </c>
      <c r="E124">
        <v>22.785</v>
      </c>
      <c r="F124">
        <v>1989</v>
      </c>
      <c r="G124" t="str">
        <f t="shared" si="1"/>
        <v>CUSE</v>
      </c>
    </row>
    <row r="125" spans="1:7" x14ac:dyDescent="0.4">
      <c r="A125" t="s">
        <v>41</v>
      </c>
      <c r="B125">
        <v>-119.4324</v>
      </c>
      <c r="C125">
        <v>37.261499999999899</v>
      </c>
      <c r="D125">
        <v>1792.5378000000001</v>
      </c>
      <c r="E125">
        <v>3.6579999999999999</v>
      </c>
      <c r="F125">
        <v>1895</v>
      </c>
      <c r="G125" t="str">
        <f t="shared" si="1"/>
        <v>EUCA</v>
      </c>
    </row>
    <row r="126" spans="1:7" x14ac:dyDescent="0.4">
      <c r="A126" t="s">
        <v>42</v>
      </c>
      <c r="B126">
        <v>-119.4324</v>
      </c>
      <c r="C126">
        <v>37.261499999999899</v>
      </c>
      <c r="D126">
        <v>1792.5378000000001</v>
      </c>
      <c r="E126">
        <v>3.2810000000000001</v>
      </c>
      <c r="F126">
        <v>1895</v>
      </c>
      <c r="G126" t="str">
        <f t="shared" si="1"/>
        <v>EUGL</v>
      </c>
    </row>
    <row r="127" spans="1:7" x14ac:dyDescent="0.4">
      <c r="A127" t="s">
        <v>41</v>
      </c>
      <c r="B127">
        <v>-119.4324</v>
      </c>
      <c r="C127">
        <v>37.261499999999899</v>
      </c>
      <c r="D127">
        <v>1792.5378000000001</v>
      </c>
      <c r="E127">
        <v>0.17499999999999999</v>
      </c>
      <c r="F127">
        <v>1895</v>
      </c>
      <c r="G127" t="str">
        <f t="shared" si="1"/>
        <v>EUCA</v>
      </c>
    </row>
    <row r="128" spans="1:7" x14ac:dyDescent="0.4">
      <c r="A128" t="s">
        <v>41</v>
      </c>
      <c r="B128">
        <v>10.8605</v>
      </c>
      <c r="C128">
        <v>45.7196</v>
      </c>
      <c r="D128">
        <v>1367.8629000000001</v>
      </c>
      <c r="E128">
        <v>0.51</v>
      </c>
      <c r="F128">
        <v>1989</v>
      </c>
      <c r="G128" t="str">
        <f t="shared" si="1"/>
        <v>EUCA</v>
      </c>
    </row>
    <row r="129" spans="1:7" x14ac:dyDescent="0.4">
      <c r="A129" t="s">
        <v>41</v>
      </c>
      <c r="B129">
        <v>10.8605</v>
      </c>
      <c r="C129">
        <v>45.7196</v>
      </c>
      <c r="D129">
        <v>1367.8629000000001</v>
      </c>
      <c r="E129">
        <v>4.6459999999999999</v>
      </c>
      <c r="F129">
        <v>1989</v>
      </c>
      <c r="G129" t="str">
        <f t="shared" si="1"/>
        <v>EUCA</v>
      </c>
    </row>
    <row r="130" spans="1:7" x14ac:dyDescent="0.4">
      <c r="A130" t="s">
        <v>43</v>
      </c>
      <c r="B130">
        <v>0.92149999999999999</v>
      </c>
      <c r="C130">
        <v>42.328499999999899</v>
      </c>
      <c r="D130">
        <v>953.21105999999997</v>
      </c>
      <c r="E130">
        <v>-3.0910000000000002</v>
      </c>
      <c r="F130">
        <v>1986</v>
      </c>
      <c r="G130" t="str">
        <f t="shared" si="1"/>
        <v>FASY</v>
      </c>
    </row>
    <row r="131" spans="1:7" x14ac:dyDescent="0.4">
      <c r="A131" t="s">
        <v>43</v>
      </c>
      <c r="B131">
        <v>19.6858</v>
      </c>
      <c r="C131">
        <v>48.844700000000003</v>
      </c>
      <c r="D131">
        <v>701.47131000000002</v>
      </c>
      <c r="E131">
        <v>-0.65200000000000002</v>
      </c>
      <c r="F131">
        <v>1966</v>
      </c>
      <c r="G131" t="str">
        <f t="shared" ref="G131:G193" si="2">RIGHT(LEFT(A131,5),4)</f>
        <v>FASY</v>
      </c>
    </row>
    <row r="132" spans="1:7" x14ac:dyDescent="0.4">
      <c r="A132" t="s">
        <v>43</v>
      </c>
      <c r="B132">
        <v>2.0886</v>
      </c>
      <c r="C132">
        <v>46.670499999999898</v>
      </c>
      <c r="D132">
        <v>264.83069</v>
      </c>
      <c r="E132">
        <v>-0.51700000000000002</v>
      </c>
      <c r="F132">
        <v>1914</v>
      </c>
      <c r="G132" t="str">
        <f t="shared" si="2"/>
        <v>FASY</v>
      </c>
    </row>
    <row r="133" spans="1:7" x14ac:dyDescent="0.4">
      <c r="A133" t="s">
        <v>43</v>
      </c>
      <c r="B133">
        <v>19.6858</v>
      </c>
      <c r="C133">
        <v>48.844700000000003</v>
      </c>
      <c r="D133">
        <v>701.47131000000002</v>
      </c>
      <c r="E133">
        <v>-0.30099999999999999</v>
      </c>
      <c r="F133">
        <v>1966</v>
      </c>
      <c r="G133" t="str">
        <f t="shared" si="2"/>
        <v>FASY</v>
      </c>
    </row>
    <row r="134" spans="1:7" x14ac:dyDescent="0.4">
      <c r="A134" t="s">
        <v>43</v>
      </c>
      <c r="B134">
        <v>2.0886</v>
      </c>
      <c r="C134">
        <v>46.670499999999898</v>
      </c>
      <c r="D134">
        <v>264.83069</v>
      </c>
      <c r="E134">
        <v>-0.23400000000000001</v>
      </c>
      <c r="F134">
        <v>1914</v>
      </c>
      <c r="G134" t="str">
        <f t="shared" si="2"/>
        <v>FASY</v>
      </c>
    </row>
    <row r="135" spans="1:7" x14ac:dyDescent="0.4">
      <c r="A135" t="s">
        <v>43</v>
      </c>
      <c r="B135">
        <v>19.6858</v>
      </c>
      <c r="C135">
        <v>48.844700000000003</v>
      </c>
      <c r="D135">
        <v>701.47131000000002</v>
      </c>
      <c r="E135">
        <v>-0.17399999999999999</v>
      </c>
      <c r="F135">
        <v>1966</v>
      </c>
      <c r="G135" t="str">
        <f t="shared" si="2"/>
        <v>FASY</v>
      </c>
    </row>
    <row r="136" spans="1:7" x14ac:dyDescent="0.4">
      <c r="A136" t="s">
        <v>43</v>
      </c>
      <c r="B136">
        <v>-1.7858000000000001</v>
      </c>
      <c r="C136">
        <v>40.956000000000003</v>
      </c>
      <c r="D136">
        <v>1084.1304</v>
      </c>
      <c r="E136">
        <v>-9.0999999999999998E-2</v>
      </c>
      <c r="F136">
        <v>1986</v>
      </c>
      <c r="G136" t="str">
        <f t="shared" si="2"/>
        <v>FASY</v>
      </c>
    </row>
    <row r="137" spans="1:7" x14ac:dyDescent="0.4">
      <c r="A137" t="s">
        <v>43</v>
      </c>
      <c r="B137">
        <v>2.0886</v>
      </c>
      <c r="C137">
        <v>46.670499999999898</v>
      </c>
      <c r="D137">
        <v>264.83069</v>
      </c>
      <c r="E137">
        <v>-3.4000000000000002E-2</v>
      </c>
      <c r="F137">
        <v>1914</v>
      </c>
      <c r="G137" t="str">
        <f t="shared" si="2"/>
        <v>FASY</v>
      </c>
    </row>
    <row r="138" spans="1:7" x14ac:dyDescent="0.4">
      <c r="A138" t="s">
        <v>43</v>
      </c>
      <c r="B138">
        <v>7.0965499999999997</v>
      </c>
      <c r="C138">
        <v>43.006549999999997</v>
      </c>
      <c r="D138" t="s">
        <v>112</v>
      </c>
      <c r="E138">
        <v>0.28599999999999998</v>
      </c>
      <c r="F138">
        <v>1981</v>
      </c>
      <c r="G138" t="str">
        <f t="shared" si="2"/>
        <v>FASY</v>
      </c>
    </row>
    <row r="139" spans="1:7" x14ac:dyDescent="0.4">
      <c r="A139" t="s">
        <v>43</v>
      </c>
      <c r="B139">
        <v>13.4633</v>
      </c>
      <c r="C139">
        <v>48.921500000000002</v>
      </c>
      <c r="D139">
        <v>869.87121999999999</v>
      </c>
      <c r="E139">
        <v>0.78500000000000003</v>
      </c>
      <c r="F139">
        <v>1902</v>
      </c>
      <c r="G139" t="str">
        <f t="shared" si="2"/>
        <v>FASY</v>
      </c>
    </row>
    <row r="140" spans="1:7" x14ac:dyDescent="0.4">
      <c r="A140" t="s">
        <v>43</v>
      </c>
      <c r="B140">
        <v>2.3963999999999999</v>
      </c>
      <c r="C140">
        <v>41.7727</v>
      </c>
      <c r="D140">
        <v>674.88262999999995</v>
      </c>
      <c r="E140">
        <v>1.228</v>
      </c>
      <c r="F140">
        <v>1945</v>
      </c>
      <c r="G140" t="str">
        <f t="shared" si="2"/>
        <v>FASY</v>
      </c>
    </row>
    <row r="141" spans="1:7" x14ac:dyDescent="0.4">
      <c r="A141" t="s">
        <v>43</v>
      </c>
      <c r="B141">
        <v>5.3539166666666702</v>
      </c>
      <c r="C141">
        <v>45.007733333333299</v>
      </c>
      <c r="D141">
        <v>761.62267999999995</v>
      </c>
      <c r="E141">
        <v>2.35</v>
      </c>
      <c r="F141">
        <v>1905</v>
      </c>
      <c r="G141" t="str">
        <f t="shared" si="2"/>
        <v>FASY</v>
      </c>
    </row>
    <row r="142" spans="1:7" x14ac:dyDescent="0.4">
      <c r="A142" t="s">
        <v>43</v>
      </c>
      <c r="B142">
        <v>-0.96830000000000005</v>
      </c>
      <c r="C142">
        <v>42.850900000000003</v>
      </c>
      <c r="D142">
        <v>1479.7910999999999</v>
      </c>
      <c r="E142">
        <v>2.5</v>
      </c>
      <c r="F142">
        <v>1971</v>
      </c>
      <c r="G142" t="str">
        <f t="shared" si="2"/>
        <v>FASY</v>
      </c>
    </row>
    <row r="143" spans="1:7" x14ac:dyDescent="0.4">
      <c r="A143" t="s">
        <v>43</v>
      </c>
      <c r="B143">
        <v>-0.96830000000000005</v>
      </c>
      <c r="C143">
        <v>42.850900000000003</v>
      </c>
      <c r="D143">
        <v>1479.7910999999999</v>
      </c>
      <c r="E143">
        <v>3.75</v>
      </c>
      <c r="F143">
        <v>1971</v>
      </c>
      <c r="G143" t="str">
        <f t="shared" si="2"/>
        <v>FASY</v>
      </c>
    </row>
    <row r="144" spans="1:7" x14ac:dyDescent="0.4">
      <c r="A144" t="s">
        <v>43</v>
      </c>
      <c r="B144">
        <v>10.8605</v>
      </c>
      <c r="C144">
        <v>45.7196</v>
      </c>
      <c r="D144">
        <v>1367.8629000000001</v>
      </c>
      <c r="E144">
        <v>6.4530000000000003</v>
      </c>
      <c r="F144">
        <v>1989</v>
      </c>
      <c r="G144" t="str">
        <f t="shared" si="2"/>
        <v>FASY</v>
      </c>
    </row>
    <row r="145" spans="1:7" x14ac:dyDescent="0.4">
      <c r="A145" t="s">
        <v>44</v>
      </c>
      <c r="B145">
        <v>13.4633</v>
      </c>
      <c r="C145">
        <v>48.921500000000002</v>
      </c>
      <c r="D145">
        <v>869.87121999999999</v>
      </c>
      <c r="E145">
        <v>1.014</v>
      </c>
      <c r="F145">
        <v>1902</v>
      </c>
      <c r="G145" t="str">
        <f t="shared" si="2"/>
        <v>FRAL</v>
      </c>
    </row>
    <row r="146" spans="1:7" x14ac:dyDescent="0.4">
      <c r="A146" t="s">
        <v>44</v>
      </c>
      <c r="B146">
        <v>10.8605</v>
      </c>
      <c r="C146">
        <v>45.7196</v>
      </c>
      <c r="D146">
        <v>1367.8629000000001</v>
      </c>
      <c r="E146">
        <v>5.1609999999999996</v>
      </c>
      <c r="F146">
        <v>1989</v>
      </c>
      <c r="G146" t="str">
        <f t="shared" si="2"/>
        <v>FRAL</v>
      </c>
    </row>
    <row r="147" spans="1:7" x14ac:dyDescent="0.4">
      <c r="A147" t="s">
        <v>44</v>
      </c>
      <c r="B147">
        <v>-119.4324</v>
      </c>
      <c r="C147">
        <v>37.261499999999899</v>
      </c>
      <c r="D147">
        <v>1792.5378000000001</v>
      </c>
      <c r="E147">
        <v>-0.63800000000000001</v>
      </c>
      <c r="F147">
        <v>1895</v>
      </c>
      <c r="G147" t="str">
        <f t="shared" si="2"/>
        <v>FRAL</v>
      </c>
    </row>
    <row r="148" spans="1:7" x14ac:dyDescent="0.4">
      <c r="A148" t="s">
        <v>44</v>
      </c>
      <c r="B148">
        <v>-119.4324</v>
      </c>
      <c r="C148">
        <v>37.261499999999899</v>
      </c>
      <c r="D148">
        <v>1792.5378000000001</v>
      </c>
      <c r="E148">
        <v>1.409</v>
      </c>
      <c r="F148">
        <v>1895</v>
      </c>
      <c r="G148" t="str">
        <f t="shared" si="2"/>
        <v>FRAL</v>
      </c>
    </row>
    <row r="149" spans="1:7" x14ac:dyDescent="0.4">
      <c r="A149" t="s">
        <v>45</v>
      </c>
      <c r="B149">
        <v>-71.156700000000001</v>
      </c>
      <c r="C149">
        <v>45.460099999999898</v>
      </c>
      <c r="D149">
        <v>901.67474000000004</v>
      </c>
      <c r="E149">
        <v>-0.55800000000000005</v>
      </c>
      <c r="F149">
        <v>1970</v>
      </c>
      <c r="G149" t="str">
        <f t="shared" si="2"/>
        <v>FRAM</v>
      </c>
    </row>
    <row r="150" spans="1:7" x14ac:dyDescent="0.4">
      <c r="A150" t="s">
        <v>46</v>
      </c>
      <c r="B150">
        <v>19.6858</v>
      </c>
      <c r="C150">
        <v>48.844700000000003</v>
      </c>
      <c r="D150">
        <v>701.47131000000002</v>
      </c>
      <c r="E150">
        <v>0</v>
      </c>
      <c r="F150">
        <v>1966</v>
      </c>
      <c r="G150" t="str">
        <f t="shared" si="2"/>
        <v>FREX</v>
      </c>
    </row>
    <row r="151" spans="1:7" x14ac:dyDescent="0.4">
      <c r="A151" t="s">
        <v>46</v>
      </c>
      <c r="B151">
        <v>2.0886</v>
      </c>
      <c r="C151">
        <v>46.670499999999898</v>
      </c>
      <c r="D151">
        <v>264.83069</v>
      </c>
      <c r="E151">
        <v>6.9000000000000006E-2</v>
      </c>
      <c r="F151">
        <v>1914</v>
      </c>
      <c r="G151" t="str">
        <f t="shared" si="2"/>
        <v>FREX</v>
      </c>
    </row>
    <row r="152" spans="1:7" x14ac:dyDescent="0.4">
      <c r="A152" t="s">
        <v>46</v>
      </c>
      <c r="B152">
        <v>5.3539166666666702</v>
      </c>
      <c r="C152">
        <v>45.007733333333299</v>
      </c>
      <c r="D152">
        <v>761.62267999999995</v>
      </c>
      <c r="E152">
        <v>0.52400000000000002</v>
      </c>
      <c r="F152">
        <v>1905</v>
      </c>
      <c r="G152" t="str">
        <f t="shared" si="2"/>
        <v>FREX</v>
      </c>
    </row>
    <row r="153" spans="1:7" x14ac:dyDescent="0.4">
      <c r="A153" t="s">
        <v>46</v>
      </c>
      <c r="B153">
        <v>19.6858</v>
      </c>
      <c r="C153">
        <v>48.844700000000003</v>
      </c>
      <c r="D153">
        <v>701.47131000000002</v>
      </c>
      <c r="E153">
        <v>0.64100000000000001</v>
      </c>
      <c r="F153">
        <v>1966</v>
      </c>
      <c r="G153" t="str">
        <f t="shared" si="2"/>
        <v>FREX</v>
      </c>
    </row>
    <row r="154" spans="1:7" x14ac:dyDescent="0.4">
      <c r="A154" t="s">
        <v>46</v>
      </c>
      <c r="B154">
        <v>19.6858</v>
      </c>
      <c r="C154">
        <v>48.844700000000003</v>
      </c>
      <c r="D154">
        <v>701.47131000000002</v>
      </c>
      <c r="E154">
        <v>0.91300000000000003</v>
      </c>
      <c r="F154">
        <v>1966</v>
      </c>
      <c r="G154" t="str">
        <f t="shared" si="2"/>
        <v>FREX</v>
      </c>
    </row>
    <row r="155" spans="1:7" x14ac:dyDescent="0.4">
      <c r="A155" t="s">
        <v>46</v>
      </c>
      <c r="B155">
        <v>2.0886</v>
      </c>
      <c r="C155">
        <v>46.670499999999898</v>
      </c>
      <c r="D155">
        <v>264.83069</v>
      </c>
      <c r="E155">
        <v>1.228</v>
      </c>
      <c r="F155">
        <v>1914</v>
      </c>
      <c r="G155" t="str">
        <f t="shared" si="2"/>
        <v>FREX</v>
      </c>
    </row>
    <row r="156" spans="1:7" x14ac:dyDescent="0.4">
      <c r="A156" t="s">
        <v>46</v>
      </c>
      <c r="B156">
        <v>13.4633</v>
      </c>
      <c r="C156">
        <v>48.921500000000002</v>
      </c>
      <c r="D156">
        <v>869.87121999999999</v>
      </c>
      <c r="E156">
        <v>2.3540000000000001</v>
      </c>
      <c r="F156">
        <v>1902</v>
      </c>
      <c r="G156" t="str">
        <f t="shared" si="2"/>
        <v>FREX</v>
      </c>
    </row>
    <row r="157" spans="1:7" x14ac:dyDescent="0.4">
      <c r="A157" t="s">
        <v>46</v>
      </c>
      <c r="B157">
        <v>2.0886</v>
      </c>
      <c r="C157">
        <v>46.670499999999898</v>
      </c>
      <c r="D157">
        <v>264.83069</v>
      </c>
      <c r="E157">
        <v>3.49</v>
      </c>
      <c r="F157">
        <v>1914</v>
      </c>
      <c r="G157" t="str">
        <f t="shared" si="2"/>
        <v>FREX</v>
      </c>
    </row>
    <row r="158" spans="1:7" x14ac:dyDescent="0.4">
      <c r="A158" t="s">
        <v>46</v>
      </c>
      <c r="B158">
        <v>10.8605</v>
      </c>
      <c r="C158">
        <v>45.7196</v>
      </c>
      <c r="D158">
        <v>1367.8629000000001</v>
      </c>
      <c r="E158">
        <v>5.0129999999999999</v>
      </c>
      <c r="F158">
        <v>1989</v>
      </c>
      <c r="G158" t="str">
        <f t="shared" si="2"/>
        <v>FREX</v>
      </c>
    </row>
    <row r="159" spans="1:7" x14ac:dyDescent="0.4">
      <c r="A159" t="s">
        <v>46</v>
      </c>
      <c r="B159">
        <v>7.0965499999999997</v>
      </c>
      <c r="C159">
        <v>43.006549999999997</v>
      </c>
      <c r="D159" t="s">
        <v>112</v>
      </c>
      <c r="E159">
        <v>15.643000000000001</v>
      </c>
      <c r="F159">
        <v>1981</v>
      </c>
      <c r="G159" t="str">
        <f t="shared" si="2"/>
        <v>FREX</v>
      </c>
    </row>
    <row r="160" spans="1:7" x14ac:dyDescent="0.4">
      <c r="A160" t="s">
        <v>47</v>
      </c>
      <c r="B160">
        <v>10.8605</v>
      </c>
      <c r="C160">
        <v>45.7196</v>
      </c>
      <c r="D160">
        <v>1367.8629000000001</v>
      </c>
      <c r="E160">
        <v>3.3079999999999998</v>
      </c>
      <c r="F160">
        <v>1989</v>
      </c>
      <c r="G160" t="str">
        <f t="shared" si="2"/>
        <v>FROR</v>
      </c>
    </row>
    <row r="161" spans="1:7" x14ac:dyDescent="0.4">
      <c r="A161" t="s">
        <v>47</v>
      </c>
      <c r="B161">
        <v>7.0965499999999997</v>
      </c>
      <c r="C161">
        <v>43.006549999999997</v>
      </c>
      <c r="D161" t="s">
        <v>112</v>
      </c>
      <c r="E161">
        <v>6.0709999999999997</v>
      </c>
      <c r="F161">
        <v>1981</v>
      </c>
      <c r="G161" t="str">
        <f t="shared" si="2"/>
        <v>FROR</v>
      </c>
    </row>
    <row r="162" spans="1:7" x14ac:dyDescent="0.4">
      <c r="A162" t="s">
        <v>48</v>
      </c>
      <c r="B162">
        <v>-119.4324</v>
      </c>
      <c r="C162">
        <v>37.261499999999899</v>
      </c>
      <c r="D162">
        <v>1792.5378000000001</v>
      </c>
      <c r="E162">
        <v>-0.16900000000000001</v>
      </c>
      <c r="F162">
        <v>1895</v>
      </c>
      <c r="G162" t="str">
        <f t="shared" si="2"/>
        <v>JUCA</v>
      </c>
    </row>
    <row r="163" spans="1:7" x14ac:dyDescent="0.4">
      <c r="A163" t="s">
        <v>54</v>
      </c>
      <c r="B163">
        <v>10.8605</v>
      </c>
      <c r="C163">
        <v>45.7196</v>
      </c>
      <c r="D163">
        <v>1367.8629000000001</v>
      </c>
      <c r="E163">
        <v>1.472</v>
      </c>
      <c r="F163">
        <v>1989</v>
      </c>
      <c r="G163" t="str">
        <f t="shared" si="2"/>
        <v>JURE</v>
      </c>
    </row>
    <row r="164" spans="1:7" x14ac:dyDescent="0.4">
      <c r="A164" t="s">
        <v>54</v>
      </c>
      <c r="B164">
        <v>7.0965499999999997</v>
      </c>
      <c r="C164">
        <v>43.006549999999997</v>
      </c>
      <c r="D164" t="s">
        <v>112</v>
      </c>
      <c r="E164">
        <v>3.1429999999999998</v>
      </c>
      <c r="F164">
        <v>1981</v>
      </c>
      <c r="G164" t="str">
        <f t="shared" si="2"/>
        <v>JURE</v>
      </c>
    </row>
    <row r="165" spans="1:7" x14ac:dyDescent="0.4">
      <c r="A165" t="s">
        <v>48</v>
      </c>
      <c r="B165">
        <v>-119.4324</v>
      </c>
      <c r="C165">
        <v>37.261499999999899</v>
      </c>
      <c r="D165">
        <v>1792.5378000000001</v>
      </c>
      <c r="E165">
        <v>0.56499999999999995</v>
      </c>
      <c r="F165">
        <v>1895</v>
      </c>
      <c r="G165" t="str">
        <f t="shared" si="2"/>
        <v>JUCA</v>
      </c>
    </row>
    <row r="166" spans="1:7" x14ac:dyDescent="0.4">
      <c r="A166" t="s">
        <v>49</v>
      </c>
      <c r="B166">
        <v>10.8605</v>
      </c>
      <c r="C166">
        <v>45.7196</v>
      </c>
      <c r="D166">
        <v>1367.8629000000001</v>
      </c>
      <c r="E166">
        <v>9.5389999999999997</v>
      </c>
      <c r="F166">
        <v>1989</v>
      </c>
      <c r="G166" t="str">
        <f t="shared" si="2"/>
        <v>JUCO</v>
      </c>
    </row>
    <row r="167" spans="1:7" x14ac:dyDescent="0.4">
      <c r="A167" t="s">
        <v>49</v>
      </c>
      <c r="B167">
        <v>-119.4324</v>
      </c>
      <c r="C167">
        <v>37.261499999999899</v>
      </c>
      <c r="D167">
        <v>1792.5378000000001</v>
      </c>
      <c r="E167">
        <v>-8.0000000000000002E-3</v>
      </c>
      <c r="F167">
        <v>1895</v>
      </c>
      <c r="G167" t="str">
        <f t="shared" si="2"/>
        <v>JUCO</v>
      </c>
    </row>
    <row r="168" spans="1:7" x14ac:dyDescent="0.4">
      <c r="A168" t="s">
        <v>49</v>
      </c>
      <c r="B168">
        <v>-119.4324</v>
      </c>
      <c r="C168">
        <v>37.261499999999899</v>
      </c>
      <c r="D168">
        <v>1792.5378000000001</v>
      </c>
      <c r="E168">
        <v>-1.0620000000000001</v>
      </c>
      <c r="F168">
        <v>1895</v>
      </c>
      <c r="G168" t="str">
        <f t="shared" si="2"/>
        <v>JUCO</v>
      </c>
    </row>
    <row r="169" spans="1:7" x14ac:dyDescent="0.4">
      <c r="A169" t="s">
        <v>51</v>
      </c>
      <c r="B169">
        <v>-119.4324</v>
      </c>
      <c r="C169">
        <v>37.261499999999899</v>
      </c>
      <c r="D169">
        <v>1792.5378000000001</v>
      </c>
      <c r="E169">
        <v>8.8819999999999997</v>
      </c>
      <c r="F169">
        <v>1895</v>
      </c>
      <c r="G169" t="str">
        <f t="shared" si="2"/>
        <v>JUOC</v>
      </c>
    </row>
    <row r="170" spans="1:7" x14ac:dyDescent="0.4">
      <c r="A170" t="s">
        <v>53</v>
      </c>
      <c r="B170">
        <v>-119.4324</v>
      </c>
      <c r="C170">
        <v>37.261499999999899</v>
      </c>
      <c r="D170">
        <v>1792.5378000000001</v>
      </c>
      <c r="E170">
        <v>-1.5049999999999999</v>
      </c>
      <c r="F170">
        <v>1895</v>
      </c>
      <c r="G170" t="str">
        <f t="shared" si="2"/>
        <v>JUOX</v>
      </c>
    </row>
    <row r="171" spans="1:7" x14ac:dyDescent="0.4">
      <c r="A171" t="s">
        <v>55</v>
      </c>
      <c r="B171">
        <v>-119.4324</v>
      </c>
      <c r="C171">
        <v>37.261499999999899</v>
      </c>
      <c r="D171">
        <v>1792.5378000000001</v>
      </c>
      <c r="E171">
        <v>0.70099999999999996</v>
      </c>
      <c r="F171">
        <v>1895</v>
      </c>
      <c r="G171" t="str">
        <f t="shared" si="2"/>
        <v>JUSA</v>
      </c>
    </row>
    <row r="172" spans="1:7" x14ac:dyDescent="0.4">
      <c r="A172" t="s">
        <v>48</v>
      </c>
      <c r="B172">
        <v>-121.3335</v>
      </c>
      <c r="C172">
        <v>38.500700000000002</v>
      </c>
      <c r="D172">
        <v>17.796066</v>
      </c>
      <c r="E172">
        <v>-2.1339999999999999</v>
      </c>
      <c r="F172">
        <v>1930</v>
      </c>
      <c r="G172" t="str">
        <f t="shared" si="2"/>
        <v>JUCA</v>
      </c>
    </row>
    <row r="173" spans="1:7" x14ac:dyDescent="0.4">
      <c r="A173" t="s">
        <v>48</v>
      </c>
      <c r="B173">
        <v>-119.4324</v>
      </c>
      <c r="C173">
        <v>37.261499999999899</v>
      </c>
      <c r="D173">
        <v>1792.5378000000001</v>
      </c>
      <c r="E173">
        <v>-1.772</v>
      </c>
      <c r="F173">
        <v>1895</v>
      </c>
      <c r="G173" t="str">
        <f t="shared" si="2"/>
        <v>JUCA</v>
      </c>
    </row>
    <row r="174" spans="1:7" x14ac:dyDescent="0.4">
      <c r="A174" t="s">
        <v>49</v>
      </c>
      <c r="B174">
        <v>-119.4324</v>
      </c>
      <c r="C174">
        <v>37.261499999999899</v>
      </c>
      <c r="D174">
        <v>1792.5378000000001</v>
      </c>
      <c r="E174">
        <v>-11.365</v>
      </c>
      <c r="F174">
        <v>1895</v>
      </c>
      <c r="G174" t="str">
        <f t="shared" si="2"/>
        <v>JUCO</v>
      </c>
    </row>
    <row r="175" spans="1:7" x14ac:dyDescent="0.4">
      <c r="A175" t="s">
        <v>49</v>
      </c>
      <c r="B175">
        <v>5.3539166666666702</v>
      </c>
      <c r="C175">
        <v>45.007733333333299</v>
      </c>
      <c r="D175">
        <v>761.62267999999995</v>
      </c>
      <c r="E175">
        <v>-2.8740000000000001</v>
      </c>
      <c r="F175">
        <v>1905</v>
      </c>
      <c r="G175" t="str">
        <f t="shared" si="2"/>
        <v>JUCO</v>
      </c>
    </row>
    <row r="176" spans="1:7" x14ac:dyDescent="0.4">
      <c r="A176" t="s">
        <v>49</v>
      </c>
      <c r="B176">
        <v>13.0769</v>
      </c>
      <c r="C176">
        <v>63.4405</v>
      </c>
      <c r="D176">
        <v>1097.6077</v>
      </c>
      <c r="E176">
        <v>0</v>
      </c>
      <c r="F176">
        <v>1948</v>
      </c>
      <c r="G176" t="str">
        <f t="shared" si="2"/>
        <v>JUCO</v>
      </c>
    </row>
    <row r="177" spans="1:7" x14ac:dyDescent="0.4">
      <c r="A177" t="s">
        <v>49</v>
      </c>
      <c r="B177">
        <v>24.6996</v>
      </c>
      <c r="C177">
        <v>69.812799999999896</v>
      </c>
      <c r="D177">
        <v>412.95316000000003</v>
      </c>
      <c r="E177">
        <v>0.185</v>
      </c>
      <c r="F177">
        <v>1982</v>
      </c>
      <c r="G177" t="str">
        <f t="shared" si="2"/>
        <v>JUCO</v>
      </c>
    </row>
    <row r="178" spans="1:7" x14ac:dyDescent="0.4">
      <c r="A178" t="s">
        <v>49</v>
      </c>
      <c r="B178">
        <v>10.0448</v>
      </c>
      <c r="C178">
        <v>46.602699999999899</v>
      </c>
      <c r="D178">
        <v>1978.8960999999999</v>
      </c>
      <c r="E178">
        <v>0.42899999999999999</v>
      </c>
      <c r="F178">
        <v>1912</v>
      </c>
      <c r="G178" t="str">
        <f t="shared" si="2"/>
        <v>JUCO</v>
      </c>
    </row>
    <row r="179" spans="1:7" x14ac:dyDescent="0.4">
      <c r="A179" t="s">
        <v>49</v>
      </c>
      <c r="B179">
        <v>9.9322999999999997</v>
      </c>
      <c r="C179">
        <v>46.615900000000003</v>
      </c>
      <c r="D179">
        <v>2531.1504</v>
      </c>
      <c r="E179">
        <v>0.7</v>
      </c>
      <c r="F179">
        <v>1835</v>
      </c>
      <c r="G179" t="str">
        <f t="shared" si="2"/>
        <v>JUCO</v>
      </c>
    </row>
    <row r="180" spans="1:7" x14ac:dyDescent="0.4">
      <c r="A180" t="s">
        <v>49</v>
      </c>
      <c r="B180">
        <v>-3.9306000000000001</v>
      </c>
      <c r="C180">
        <v>40.860799999999898</v>
      </c>
      <c r="D180">
        <v>1769.4078</v>
      </c>
      <c r="E180">
        <v>0.81499999999999995</v>
      </c>
      <c r="F180">
        <v>1962</v>
      </c>
      <c r="G180" t="str">
        <f t="shared" si="2"/>
        <v>JUCO</v>
      </c>
    </row>
    <row r="181" spans="1:7" x14ac:dyDescent="0.4">
      <c r="A181" t="s">
        <v>49</v>
      </c>
      <c r="B181">
        <v>-119.4324</v>
      </c>
      <c r="C181">
        <v>37.261499999999899</v>
      </c>
      <c r="D181">
        <v>1792.5378000000001</v>
      </c>
      <c r="E181">
        <v>0.82599999999999996</v>
      </c>
      <c r="F181">
        <v>1895</v>
      </c>
      <c r="G181" t="str">
        <f t="shared" si="2"/>
        <v>JUCO</v>
      </c>
    </row>
    <row r="182" spans="1:7" x14ac:dyDescent="0.4">
      <c r="A182" t="s">
        <v>49</v>
      </c>
      <c r="B182">
        <v>24.6996</v>
      </c>
      <c r="C182">
        <v>69.812799999999896</v>
      </c>
      <c r="D182">
        <v>412.95316000000003</v>
      </c>
      <c r="E182">
        <v>0.92600000000000005</v>
      </c>
      <c r="F182">
        <v>1982</v>
      </c>
      <c r="G182" t="str">
        <f t="shared" si="2"/>
        <v>JUCO</v>
      </c>
    </row>
    <row r="183" spans="1:7" x14ac:dyDescent="0.4">
      <c r="A183" t="s">
        <v>49</v>
      </c>
      <c r="B183">
        <v>11.3355999999999</v>
      </c>
      <c r="C183">
        <v>46.9102999999999</v>
      </c>
      <c r="D183">
        <v>1793.2164</v>
      </c>
      <c r="E183">
        <v>1.383</v>
      </c>
      <c r="F183">
        <v>1970</v>
      </c>
      <c r="G183" t="str">
        <f t="shared" si="2"/>
        <v>JUCO</v>
      </c>
    </row>
    <row r="184" spans="1:7" x14ac:dyDescent="0.4">
      <c r="A184" t="s">
        <v>49</v>
      </c>
      <c r="B184">
        <v>11.3355999999999</v>
      </c>
      <c r="C184">
        <v>46.9102999999999</v>
      </c>
      <c r="D184">
        <v>1793.2164</v>
      </c>
      <c r="E184">
        <v>2.34</v>
      </c>
      <c r="F184">
        <v>1970</v>
      </c>
      <c r="G184" t="str">
        <f t="shared" si="2"/>
        <v>JUCO</v>
      </c>
    </row>
    <row r="185" spans="1:7" x14ac:dyDescent="0.4">
      <c r="A185" t="s">
        <v>49</v>
      </c>
      <c r="B185">
        <v>11.3355999999999</v>
      </c>
      <c r="C185">
        <v>46.9102999999999</v>
      </c>
      <c r="D185">
        <v>1793.2164</v>
      </c>
      <c r="E185">
        <v>2.5960000000000001</v>
      </c>
      <c r="F185">
        <v>1970</v>
      </c>
      <c r="G185" t="str">
        <f t="shared" si="2"/>
        <v>JUCO</v>
      </c>
    </row>
    <row r="186" spans="1:7" x14ac:dyDescent="0.4">
      <c r="A186" t="s">
        <v>49</v>
      </c>
      <c r="B186">
        <v>10.8605</v>
      </c>
      <c r="C186">
        <v>45.7196</v>
      </c>
      <c r="D186">
        <v>1367.8629000000001</v>
      </c>
      <c r="E186">
        <v>4.923</v>
      </c>
      <c r="F186">
        <v>1989</v>
      </c>
      <c r="G186" t="str">
        <f t="shared" si="2"/>
        <v>JUCO</v>
      </c>
    </row>
    <row r="187" spans="1:7" x14ac:dyDescent="0.4">
      <c r="A187" t="s">
        <v>49</v>
      </c>
      <c r="B187">
        <v>7.0965499999999997</v>
      </c>
      <c r="C187">
        <v>43.006549999999997</v>
      </c>
      <c r="D187" t="s">
        <v>112</v>
      </c>
      <c r="E187">
        <v>6.9290000000000003</v>
      </c>
      <c r="F187">
        <v>1981</v>
      </c>
      <c r="G187" t="str">
        <f t="shared" si="2"/>
        <v>JUCO</v>
      </c>
    </row>
    <row r="188" spans="1:7" x14ac:dyDescent="0.4">
      <c r="A188" t="s">
        <v>50</v>
      </c>
      <c r="B188">
        <v>-110.7542</v>
      </c>
      <c r="C188">
        <v>32.437800000000003</v>
      </c>
      <c r="D188">
        <v>2398.3027000000002</v>
      </c>
      <c r="E188">
        <v>0</v>
      </c>
      <c r="F188">
        <v>1963</v>
      </c>
      <c r="G188" t="str">
        <f t="shared" si="2"/>
        <v>JUDE</v>
      </c>
    </row>
    <row r="189" spans="1:7" x14ac:dyDescent="0.4">
      <c r="A189" t="s">
        <v>50</v>
      </c>
      <c r="B189">
        <v>-110.7542</v>
      </c>
      <c r="C189">
        <v>32.437800000000003</v>
      </c>
      <c r="D189">
        <v>2398.3027000000002</v>
      </c>
      <c r="E189">
        <v>6.3940000000000001</v>
      </c>
      <c r="F189">
        <v>1963</v>
      </c>
      <c r="G189" t="str">
        <f t="shared" si="2"/>
        <v>JUDE</v>
      </c>
    </row>
    <row r="190" spans="1:7" x14ac:dyDescent="0.4">
      <c r="A190" t="s">
        <v>51</v>
      </c>
      <c r="B190">
        <v>-121.3335</v>
      </c>
      <c r="C190">
        <v>38.500700000000002</v>
      </c>
      <c r="D190">
        <v>17.796066</v>
      </c>
      <c r="E190">
        <v>-10.494</v>
      </c>
      <c r="F190">
        <v>1930</v>
      </c>
      <c r="G190" t="str">
        <f t="shared" si="2"/>
        <v>JUOC</v>
      </c>
    </row>
    <row r="191" spans="1:7" x14ac:dyDescent="0.4">
      <c r="A191" t="s">
        <v>51</v>
      </c>
      <c r="B191">
        <v>-119.4324</v>
      </c>
      <c r="C191">
        <v>37.261499999999899</v>
      </c>
      <c r="D191">
        <v>1792.5378000000001</v>
      </c>
      <c r="E191">
        <v>4.8140000000000001</v>
      </c>
      <c r="F191">
        <v>1895</v>
      </c>
      <c r="G191" t="str">
        <f t="shared" si="2"/>
        <v>JUOC</v>
      </c>
    </row>
    <row r="192" spans="1:7" x14ac:dyDescent="0.4">
      <c r="A192" t="s">
        <v>52</v>
      </c>
      <c r="B192">
        <v>-119.4324</v>
      </c>
      <c r="C192">
        <v>37.261499999999899</v>
      </c>
      <c r="D192">
        <v>1792.5378000000001</v>
      </c>
      <c r="E192">
        <v>-1.748</v>
      </c>
      <c r="F192">
        <v>1895</v>
      </c>
      <c r="G192" t="str">
        <f t="shared" si="2"/>
        <v>JUOS</v>
      </c>
    </row>
    <row r="193" spans="1:7" x14ac:dyDescent="0.4">
      <c r="A193" t="s">
        <v>53</v>
      </c>
      <c r="B193">
        <v>7.0965499999999997</v>
      </c>
      <c r="C193">
        <v>43.006549999999997</v>
      </c>
      <c r="D193" t="s">
        <v>112</v>
      </c>
      <c r="E193">
        <v>0.14299999999999999</v>
      </c>
      <c r="F193">
        <v>1981</v>
      </c>
      <c r="G193" t="str">
        <f t="shared" si="2"/>
        <v>JUOX</v>
      </c>
    </row>
    <row r="194" spans="1:7" x14ac:dyDescent="0.4">
      <c r="A194" t="s">
        <v>54</v>
      </c>
      <c r="B194">
        <v>88.524900000000002</v>
      </c>
      <c r="C194">
        <v>27.904599999999899</v>
      </c>
      <c r="D194">
        <v>4072.03</v>
      </c>
      <c r="E194">
        <v>-0.34599999999999997</v>
      </c>
      <c r="F194">
        <v>1849</v>
      </c>
      <c r="G194" t="str">
        <f t="shared" ref="G194:G257" si="3">RIGHT(LEFT(A194,5),4)</f>
        <v>JURE</v>
      </c>
    </row>
    <row r="195" spans="1:7" x14ac:dyDescent="0.4">
      <c r="A195" t="s">
        <v>54</v>
      </c>
      <c r="B195">
        <v>88.524900000000002</v>
      </c>
      <c r="C195">
        <v>27.904599999999899</v>
      </c>
      <c r="D195">
        <v>4072.03</v>
      </c>
      <c r="E195">
        <v>0.123</v>
      </c>
      <c r="F195">
        <v>1849</v>
      </c>
      <c r="G195" t="str">
        <f t="shared" si="3"/>
        <v>JURE</v>
      </c>
    </row>
    <row r="196" spans="1:7" x14ac:dyDescent="0.4">
      <c r="A196" t="s">
        <v>54</v>
      </c>
      <c r="B196">
        <v>88.524900000000002</v>
      </c>
      <c r="C196">
        <v>27.904599999999899</v>
      </c>
      <c r="D196">
        <v>4072.03</v>
      </c>
      <c r="E196">
        <v>0.59199999999999997</v>
      </c>
      <c r="F196">
        <v>1849</v>
      </c>
      <c r="G196" t="str">
        <f t="shared" si="3"/>
        <v>JURE</v>
      </c>
    </row>
    <row r="197" spans="1:7" x14ac:dyDescent="0.4">
      <c r="A197" t="s">
        <v>55</v>
      </c>
      <c r="B197">
        <v>7.0965499999999997</v>
      </c>
      <c r="C197">
        <v>43.006549999999997</v>
      </c>
      <c r="D197" t="s">
        <v>112</v>
      </c>
      <c r="E197">
        <v>5.7859999999999996</v>
      </c>
      <c r="F197">
        <v>1981</v>
      </c>
      <c r="G197" t="str">
        <f t="shared" si="3"/>
        <v>JUSA</v>
      </c>
    </row>
    <row r="198" spans="1:7" x14ac:dyDescent="0.4">
      <c r="A198" t="s">
        <v>48</v>
      </c>
      <c r="B198">
        <v>-119.4324</v>
      </c>
      <c r="C198">
        <v>37.261499999999899</v>
      </c>
      <c r="D198">
        <v>1792.5378000000001</v>
      </c>
      <c r="E198">
        <v>0.35699999999999998</v>
      </c>
      <c r="F198">
        <v>1895</v>
      </c>
      <c r="G198" t="str">
        <f t="shared" si="3"/>
        <v>JUCA</v>
      </c>
    </row>
    <row r="199" spans="1:7" x14ac:dyDescent="0.4">
      <c r="A199" t="s">
        <v>56</v>
      </c>
      <c r="B199">
        <v>9.9429999999999996</v>
      </c>
      <c r="C199">
        <v>46.405999999999899</v>
      </c>
      <c r="D199">
        <v>2714.0785999999998</v>
      </c>
      <c r="E199">
        <v>-1.5149999999999999</v>
      </c>
      <c r="F199">
        <v>1906</v>
      </c>
      <c r="G199" t="str">
        <f t="shared" si="3"/>
        <v>LADE</v>
      </c>
    </row>
    <row r="200" spans="1:7" x14ac:dyDescent="0.4">
      <c r="A200" t="s">
        <v>56</v>
      </c>
      <c r="B200">
        <v>10.8605</v>
      </c>
      <c r="C200">
        <v>45.7196</v>
      </c>
      <c r="D200">
        <v>1367.8629000000001</v>
      </c>
      <c r="E200">
        <v>0.86</v>
      </c>
      <c r="F200">
        <v>1989</v>
      </c>
      <c r="G200" t="str">
        <f t="shared" si="3"/>
        <v>LADE</v>
      </c>
    </row>
    <row r="201" spans="1:7" x14ac:dyDescent="0.4">
      <c r="A201" t="s">
        <v>56</v>
      </c>
      <c r="B201">
        <v>7.3609</v>
      </c>
      <c r="C201">
        <v>45.7926</v>
      </c>
      <c r="D201">
        <v>2611.8398000000002</v>
      </c>
      <c r="E201">
        <v>1</v>
      </c>
      <c r="F201">
        <v>1951</v>
      </c>
      <c r="G201" t="str">
        <f t="shared" si="3"/>
        <v>LADE</v>
      </c>
    </row>
    <row r="202" spans="1:7" x14ac:dyDescent="0.4">
      <c r="A202" t="s">
        <v>56</v>
      </c>
      <c r="B202">
        <v>7.3609</v>
      </c>
      <c r="C202">
        <v>45.7926</v>
      </c>
      <c r="D202">
        <v>2611.8398000000002</v>
      </c>
      <c r="E202">
        <v>1.1499999999999999</v>
      </c>
      <c r="F202">
        <v>1901</v>
      </c>
      <c r="G202" t="str">
        <f t="shared" si="3"/>
        <v>LADE</v>
      </c>
    </row>
    <row r="203" spans="1:7" x14ac:dyDescent="0.4">
      <c r="A203" t="s">
        <v>56</v>
      </c>
      <c r="B203">
        <v>7.3609</v>
      </c>
      <c r="C203">
        <v>45.7926</v>
      </c>
      <c r="D203">
        <v>2611.8398000000002</v>
      </c>
      <c r="E203">
        <v>1.3</v>
      </c>
      <c r="F203">
        <v>2000</v>
      </c>
      <c r="G203" t="str">
        <f t="shared" si="3"/>
        <v>LADE</v>
      </c>
    </row>
    <row r="204" spans="1:7" x14ac:dyDescent="0.4">
      <c r="A204" t="s">
        <v>56</v>
      </c>
      <c r="B204">
        <v>-119.4324</v>
      </c>
      <c r="C204">
        <v>37.261499999999899</v>
      </c>
      <c r="D204">
        <v>1792.5378000000001</v>
      </c>
      <c r="E204">
        <v>-3.5550000000000002</v>
      </c>
      <c r="F204">
        <v>1895</v>
      </c>
      <c r="G204" t="str">
        <f t="shared" si="3"/>
        <v>LADE</v>
      </c>
    </row>
    <row r="205" spans="1:7" x14ac:dyDescent="0.4">
      <c r="A205" t="s">
        <v>57</v>
      </c>
      <c r="B205">
        <v>10.8605</v>
      </c>
      <c r="C205">
        <v>45.7196</v>
      </c>
      <c r="D205">
        <v>1367.8629000000001</v>
      </c>
      <c r="E205">
        <v>1.159</v>
      </c>
      <c r="F205">
        <v>1989</v>
      </c>
      <c r="G205" t="str">
        <f t="shared" si="3"/>
        <v>LANO</v>
      </c>
    </row>
    <row r="206" spans="1:7" x14ac:dyDescent="0.4">
      <c r="A206" t="s">
        <v>58</v>
      </c>
      <c r="B206">
        <v>5.3539166666666702</v>
      </c>
      <c r="C206">
        <v>45.007733333333299</v>
      </c>
      <c r="D206">
        <v>761.62267999999995</v>
      </c>
      <c r="E206">
        <v>-6.1550000000000002</v>
      </c>
      <c r="F206">
        <v>1905</v>
      </c>
      <c r="G206" t="str">
        <f t="shared" si="3"/>
        <v>LIVU</v>
      </c>
    </row>
    <row r="207" spans="1:7" x14ac:dyDescent="0.4">
      <c r="A207" t="s">
        <v>58</v>
      </c>
      <c r="B207">
        <v>7.0965499999999997</v>
      </c>
      <c r="C207">
        <v>43.006549999999997</v>
      </c>
      <c r="D207" t="s">
        <v>112</v>
      </c>
      <c r="E207">
        <v>11.356999999999999</v>
      </c>
      <c r="F207">
        <v>1981</v>
      </c>
      <c r="G207" t="str">
        <f t="shared" si="3"/>
        <v>LIVU</v>
      </c>
    </row>
    <row r="208" spans="1:7" x14ac:dyDescent="0.4">
      <c r="A208" t="s">
        <v>58</v>
      </c>
      <c r="B208">
        <v>10.8605</v>
      </c>
      <c r="C208">
        <v>45.7196</v>
      </c>
      <c r="D208">
        <v>1367.8629000000001</v>
      </c>
      <c r="E208">
        <v>1.716</v>
      </c>
      <c r="F208">
        <v>1989</v>
      </c>
      <c r="G208" t="str">
        <f t="shared" si="3"/>
        <v>LIVU</v>
      </c>
    </row>
    <row r="209" spans="1:7" x14ac:dyDescent="0.4">
      <c r="A209" t="s">
        <v>59</v>
      </c>
      <c r="B209">
        <v>-119.4324</v>
      </c>
      <c r="C209">
        <v>37.261499999999899</v>
      </c>
      <c r="D209">
        <v>1792.5378000000001</v>
      </c>
      <c r="E209">
        <v>-0.50900000000000001</v>
      </c>
      <c r="F209">
        <v>1895</v>
      </c>
      <c r="G209" t="str">
        <f t="shared" si="3"/>
        <v>MALA</v>
      </c>
    </row>
    <row r="210" spans="1:7" x14ac:dyDescent="0.4">
      <c r="A210" t="s">
        <v>60</v>
      </c>
      <c r="B210">
        <v>10.8605</v>
      </c>
      <c r="C210">
        <v>45.7196</v>
      </c>
      <c r="D210">
        <v>1367.8629000000001</v>
      </c>
      <c r="E210">
        <v>6.9130000000000003</v>
      </c>
      <c r="F210">
        <v>1989</v>
      </c>
      <c r="G210" t="str">
        <f t="shared" si="3"/>
        <v>MOAL</v>
      </c>
    </row>
    <row r="211" spans="1:7" x14ac:dyDescent="0.4">
      <c r="A211" t="s">
        <v>61</v>
      </c>
      <c r="B211">
        <v>-119.4324</v>
      </c>
      <c r="C211">
        <v>37.261499999999899</v>
      </c>
      <c r="D211">
        <v>1792.5378000000001</v>
      </c>
      <c r="E211">
        <v>8.8849999999999998</v>
      </c>
      <c r="F211">
        <v>1895</v>
      </c>
      <c r="G211" t="str">
        <f t="shared" si="3"/>
        <v>PAMI</v>
      </c>
    </row>
    <row r="212" spans="1:7" x14ac:dyDescent="0.4">
      <c r="A212" t="s">
        <v>61</v>
      </c>
      <c r="B212">
        <v>-119.4324</v>
      </c>
      <c r="C212">
        <v>37.261499999999899</v>
      </c>
      <c r="D212">
        <v>1792.5378000000001</v>
      </c>
      <c r="E212">
        <v>0.436</v>
      </c>
      <c r="F212">
        <v>1895</v>
      </c>
      <c r="G212" t="str">
        <f t="shared" si="3"/>
        <v>PAMI</v>
      </c>
    </row>
    <row r="213" spans="1:7" x14ac:dyDescent="0.4">
      <c r="A213" t="s">
        <v>62</v>
      </c>
      <c r="B213">
        <v>-119.4324</v>
      </c>
      <c r="C213">
        <v>37.261499999999899</v>
      </c>
      <c r="D213">
        <v>1792.5378000000001</v>
      </c>
      <c r="E213">
        <v>-1.4610000000000001</v>
      </c>
      <c r="F213">
        <v>1895</v>
      </c>
      <c r="G213" t="str">
        <f t="shared" si="3"/>
        <v>PAMY</v>
      </c>
    </row>
    <row r="214" spans="1:7" x14ac:dyDescent="0.4">
      <c r="A214" t="s">
        <v>118</v>
      </c>
      <c r="B214">
        <v>7.0965499999999997</v>
      </c>
      <c r="C214">
        <v>43.006549999999997</v>
      </c>
      <c r="D214" t="s">
        <v>112</v>
      </c>
      <c r="E214">
        <v>-0.35699999999999998</v>
      </c>
      <c r="F214">
        <v>1981</v>
      </c>
      <c r="G214" t="str">
        <f t="shared" si="3"/>
        <v>PCAB</v>
      </c>
    </row>
    <row r="215" spans="1:7" x14ac:dyDescent="0.4">
      <c r="A215" t="s">
        <v>118</v>
      </c>
      <c r="B215">
        <v>13.4633</v>
      </c>
      <c r="C215">
        <v>48.921500000000002</v>
      </c>
      <c r="D215">
        <v>869.87121999999999</v>
      </c>
      <c r="E215">
        <v>-0.32500000000000001</v>
      </c>
      <c r="F215">
        <v>1902</v>
      </c>
      <c r="G215" t="str">
        <f t="shared" si="3"/>
        <v>PCAB</v>
      </c>
    </row>
    <row r="216" spans="1:7" x14ac:dyDescent="0.4">
      <c r="A216" t="s">
        <v>118</v>
      </c>
      <c r="B216">
        <v>19.6858</v>
      </c>
      <c r="C216">
        <v>48.844700000000003</v>
      </c>
      <c r="D216">
        <v>701.47131000000002</v>
      </c>
      <c r="E216">
        <v>7.1999999999999995E-2</v>
      </c>
      <c r="F216">
        <v>1966</v>
      </c>
      <c r="G216" t="str">
        <f t="shared" si="3"/>
        <v>PCAB</v>
      </c>
    </row>
    <row r="217" spans="1:7" x14ac:dyDescent="0.4">
      <c r="A217" t="s">
        <v>118</v>
      </c>
      <c r="B217">
        <v>19.6858</v>
      </c>
      <c r="C217">
        <v>48.844700000000003</v>
      </c>
      <c r="D217">
        <v>701.47131000000002</v>
      </c>
      <c r="E217">
        <v>0.59399999999999997</v>
      </c>
      <c r="F217">
        <v>1966</v>
      </c>
      <c r="G217" t="str">
        <f t="shared" si="3"/>
        <v>PCAB</v>
      </c>
    </row>
    <row r="218" spans="1:7" x14ac:dyDescent="0.4">
      <c r="A218" t="s">
        <v>118</v>
      </c>
      <c r="B218">
        <v>13.8377</v>
      </c>
      <c r="C218">
        <v>62.2349999999999</v>
      </c>
      <c r="D218">
        <v>402.63736</v>
      </c>
      <c r="E218">
        <v>0.78</v>
      </c>
      <c r="F218">
        <v>1915</v>
      </c>
      <c r="G218" t="str">
        <f t="shared" si="3"/>
        <v>PCAB</v>
      </c>
    </row>
    <row r="219" spans="1:7" x14ac:dyDescent="0.4">
      <c r="A219" t="s">
        <v>118</v>
      </c>
      <c r="B219">
        <v>13.8377</v>
      </c>
      <c r="C219">
        <v>62.2349999999999</v>
      </c>
      <c r="D219">
        <v>402.63736</v>
      </c>
      <c r="E219">
        <v>0.98</v>
      </c>
      <c r="F219">
        <v>1915</v>
      </c>
      <c r="G219" t="str">
        <f t="shared" si="3"/>
        <v>PCAB</v>
      </c>
    </row>
    <row r="220" spans="1:7" x14ac:dyDescent="0.4">
      <c r="A220" t="s">
        <v>118</v>
      </c>
      <c r="B220">
        <v>19.6858</v>
      </c>
      <c r="C220">
        <v>48.844700000000003</v>
      </c>
      <c r="D220">
        <v>701.47131000000002</v>
      </c>
      <c r="E220">
        <v>1.319</v>
      </c>
      <c r="F220">
        <v>1966</v>
      </c>
      <c r="G220" t="str">
        <f t="shared" si="3"/>
        <v>PCAB</v>
      </c>
    </row>
    <row r="221" spans="1:7" x14ac:dyDescent="0.4">
      <c r="A221" t="s">
        <v>118</v>
      </c>
      <c r="B221">
        <v>13.8377</v>
      </c>
      <c r="C221">
        <v>62.2349999999999</v>
      </c>
      <c r="D221">
        <v>402.63736</v>
      </c>
      <c r="E221">
        <v>1.34</v>
      </c>
      <c r="F221">
        <v>1975</v>
      </c>
      <c r="G221" t="str">
        <f t="shared" si="3"/>
        <v>PCAB</v>
      </c>
    </row>
    <row r="222" spans="1:7" x14ac:dyDescent="0.4">
      <c r="A222" t="s">
        <v>118</v>
      </c>
      <c r="B222">
        <v>13.0769</v>
      </c>
      <c r="C222">
        <v>63.4405</v>
      </c>
      <c r="D222">
        <v>1097.6077</v>
      </c>
      <c r="E222">
        <v>4.7060000000000004</v>
      </c>
      <c r="F222">
        <v>1948</v>
      </c>
      <c r="G222" t="str">
        <f t="shared" si="3"/>
        <v>PCAB</v>
      </c>
    </row>
    <row r="223" spans="1:7" x14ac:dyDescent="0.4">
      <c r="A223" t="s">
        <v>118</v>
      </c>
      <c r="B223">
        <v>10.8605</v>
      </c>
      <c r="C223">
        <v>45.7196</v>
      </c>
      <c r="D223">
        <v>1367.8629000000001</v>
      </c>
      <c r="E223">
        <v>6.5359999999999996</v>
      </c>
      <c r="F223">
        <v>1989</v>
      </c>
      <c r="G223" t="str">
        <f t="shared" si="3"/>
        <v>PCAB</v>
      </c>
    </row>
    <row r="224" spans="1:7" x14ac:dyDescent="0.4">
      <c r="A224" t="s">
        <v>119</v>
      </c>
      <c r="B224">
        <v>-139.500599999999</v>
      </c>
      <c r="C224">
        <v>61.474400000000003</v>
      </c>
      <c r="D224">
        <v>1486.2603999999999</v>
      </c>
      <c r="E224">
        <v>0.23499999999999999</v>
      </c>
      <c r="F224">
        <v>1947</v>
      </c>
      <c r="G224" t="str">
        <f t="shared" si="3"/>
        <v>PCGL</v>
      </c>
    </row>
    <row r="225" spans="1:7" x14ac:dyDescent="0.4">
      <c r="A225" t="s">
        <v>119</v>
      </c>
      <c r="B225">
        <v>-71.156700000000001</v>
      </c>
      <c r="C225">
        <v>45.460099999999898</v>
      </c>
      <c r="D225">
        <v>901.67474000000004</v>
      </c>
      <c r="E225">
        <v>1.9770000000000001</v>
      </c>
      <c r="F225">
        <v>1970</v>
      </c>
      <c r="G225" t="str">
        <f t="shared" si="3"/>
        <v>PCGL</v>
      </c>
    </row>
    <row r="226" spans="1:7" x14ac:dyDescent="0.4">
      <c r="A226" t="s">
        <v>119</v>
      </c>
      <c r="B226">
        <v>-150.05869999999899</v>
      </c>
      <c r="C226">
        <v>63.596200000000003</v>
      </c>
      <c r="D226">
        <v>816.00653</v>
      </c>
      <c r="E226">
        <v>2.83</v>
      </c>
      <c r="F226">
        <v>1953</v>
      </c>
      <c r="G226" t="str">
        <f t="shared" si="3"/>
        <v>PCGL</v>
      </c>
    </row>
    <row r="227" spans="1:7" x14ac:dyDescent="0.4">
      <c r="A227" t="s">
        <v>120</v>
      </c>
      <c r="B227">
        <v>-71.156700000000001</v>
      </c>
      <c r="C227">
        <v>45.460099999999898</v>
      </c>
      <c r="D227">
        <v>901.67474000000004</v>
      </c>
      <c r="E227">
        <v>7.0000000000000007E-2</v>
      </c>
      <c r="F227">
        <v>1970</v>
      </c>
      <c r="G227" t="str">
        <f t="shared" si="3"/>
        <v>PCRU</v>
      </c>
    </row>
    <row r="228" spans="1:7" x14ac:dyDescent="0.4">
      <c r="A228" t="s">
        <v>70</v>
      </c>
      <c r="B228">
        <v>-119.4324</v>
      </c>
      <c r="C228">
        <v>37.261499999999899</v>
      </c>
      <c r="D228">
        <v>1792.5378000000001</v>
      </c>
      <c r="E228">
        <v>-3.0419999999999998</v>
      </c>
      <c r="F228">
        <v>1895</v>
      </c>
      <c r="G228" t="str">
        <f t="shared" si="3"/>
        <v>PIMO</v>
      </c>
    </row>
    <row r="229" spans="1:7" x14ac:dyDescent="0.4">
      <c r="A229" t="s">
        <v>70</v>
      </c>
      <c r="B229">
        <v>-119.4324</v>
      </c>
      <c r="C229">
        <v>37.261499999999899</v>
      </c>
      <c r="D229">
        <v>1792.5378000000001</v>
      </c>
      <c r="E229">
        <v>-2.4510000000000001</v>
      </c>
      <c r="F229">
        <v>1895</v>
      </c>
      <c r="G229" t="str">
        <f t="shared" si="3"/>
        <v>PIMO</v>
      </c>
    </row>
    <row r="230" spans="1:7" x14ac:dyDescent="0.4">
      <c r="A230" t="s">
        <v>70</v>
      </c>
      <c r="B230">
        <v>-119.4324</v>
      </c>
      <c r="C230">
        <v>37.261499999999899</v>
      </c>
      <c r="D230">
        <v>1792.5378000000001</v>
      </c>
      <c r="E230">
        <v>1.6739999999999999</v>
      </c>
      <c r="F230">
        <v>1895</v>
      </c>
      <c r="G230" t="str">
        <f t="shared" si="3"/>
        <v>PIMO</v>
      </c>
    </row>
    <row r="231" spans="1:7" x14ac:dyDescent="0.4">
      <c r="A231" t="s">
        <v>64</v>
      </c>
      <c r="B231">
        <v>10.8605</v>
      </c>
      <c r="C231">
        <v>45.7196</v>
      </c>
      <c r="D231">
        <v>1367.8629000000001</v>
      </c>
      <c r="E231">
        <v>2.5710000000000002</v>
      </c>
      <c r="F231">
        <v>1989</v>
      </c>
      <c r="G231" t="str">
        <f t="shared" si="3"/>
        <v>PIAL</v>
      </c>
    </row>
    <row r="232" spans="1:7" x14ac:dyDescent="0.4">
      <c r="A232" t="s">
        <v>71</v>
      </c>
      <c r="B232">
        <v>120.99590000000001</v>
      </c>
      <c r="C232">
        <v>23.674499999999899</v>
      </c>
      <c r="D232">
        <v>1530.4131</v>
      </c>
      <c r="E232">
        <v>4.9530000000000003</v>
      </c>
      <c r="F232">
        <v>1939</v>
      </c>
      <c r="G232" t="str">
        <f t="shared" si="3"/>
        <v>PINI</v>
      </c>
    </row>
    <row r="233" spans="1:7" x14ac:dyDescent="0.4">
      <c r="A233" t="s">
        <v>64</v>
      </c>
      <c r="B233">
        <v>10.8605</v>
      </c>
      <c r="C233">
        <v>45.7196</v>
      </c>
      <c r="D233">
        <v>1367.8629000000001</v>
      </c>
      <c r="E233">
        <v>-3.1739999999999999</v>
      </c>
      <c r="F233">
        <v>1989</v>
      </c>
      <c r="G233" t="str">
        <f t="shared" si="3"/>
        <v>PIAL</v>
      </c>
    </row>
    <row r="234" spans="1:7" x14ac:dyDescent="0.4">
      <c r="A234" t="s">
        <v>64</v>
      </c>
      <c r="B234">
        <v>-119.4324</v>
      </c>
      <c r="C234">
        <v>37.261499999999899</v>
      </c>
      <c r="D234">
        <v>1792.5378000000001</v>
      </c>
      <c r="E234">
        <v>-2.952</v>
      </c>
      <c r="F234">
        <v>1895</v>
      </c>
      <c r="G234" t="str">
        <f t="shared" si="3"/>
        <v>PIAL</v>
      </c>
    </row>
    <row r="235" spans="1:7" x14ac:dyDescent="0.4">
      <c r="A235" t="s">
        <v>65</v>
      </c>
      <c r="B235">
        <v>5.3539166666666702</v>
      </c>
      <c r="C235">
        <v>45.007733333333299</v>
      </c>
      <c r="D235">
        <v>761.62267999999995</v>
      </c>
      <c r="E235">
        <v>2.2909999999999999</v>
      </c>
      <c r="F235">
        <v>1905</v>
      </c>
      <c r="G235" t="str">
        <f t="shared" si="3"/>
        <v>PICE</v>
      </c>
    </row>
    <row r="236" spans="1:7" x14ac:dyDescent="0.4">
      <c r="A236" t="s">
        <v>66</v>
      </c>
      <c r="B236">
        <v>-120.3503</v>
      </c>
      <c r="C236">
        <v>39.061799999999899</v>
      </c>
      <c r="D236">
        <v>1967.6869999999999</v>
      </c>
      <c r="E236">
        <v>-0.56100000000000005</v>
      </c>
      <c r="F236">
        <v>1934</v>
      </c>
      <c r="G236" t="str">
        <f t="shared" si="3"/>
        <v>PICO</v>
      </c>
    </row>
    <row r="237" spans="1:7" x14ac:dyDescent="0.4">
      <c r="A237" t="s">
        <v>66</v>
      </c>
      <c r="B237">
        <v>-119.4324</v>
      </c>
      <c r="C237">
        <v>37.261499999999899</v>
      </c>
      <c r="D237">
        <v>1792.5378000000001</v>
      </c>
      <c r="E237">
        <v>0.79500000000000004</v>
      </c>
      <c r="F237">
        <v>1895</v>
      </c>
      <c r="G237" t="str">
        <f t="shared" si="3"/>
        <v>PICO</v>
      </c>
    </row>
    <row r="238" spans="1:7" x14ac:dyDescent="0.4">
      <c r="A238" t="s">
        <v>66</v>
      </c>
      <c r="B238">
        <v>-120.3503</v>
      </c>
      <c r="C238">
        <v>39.061799999999899</v>
      </c>
      <c r="D238">
        <v>1967.6869999999999</v>
      </c>
      <c r="E238">
        <v>0.95499999999999996</v>
      </c>
      <c r="F238">
        <v>1934</v>
      </c>
      <c r="G238" t="str">
        <f t="shared" si="3"/>
        <v>PICO</v>
      </c>
    </row>
    <row r="239" spans="1:7" x14ac:dyDescent="0.4">
      <c r="A239" t="s">
        <v>66</v>
      </c>
      <c r="B239">
        <v>-120.3503</v>
      </c>
      <c r="C239">
        <v>39.061799999999899</v>
      </c>
      <c r="D239">
        <v>1967.6869999999999</v>
      </c>
      <c r="E239">
        <v>1.1970000000000001</v>
      </c>
      <c r="F239">
        <v>1934</v>
      </c>
      <c r="G239" t="str">
        <f t="shared" si="3"/>
        <v>PICO</v>
      </c>
    </row>
    <row r="240" spans="1:7" x14ac:dyDescent="0.4">
      <c r="A240" t="s">
        <v>66</v>
      </c>
      <c r="B240">
        <v>-119.4324</v>
      </c>
      <c r="C240">
        <v>37.261499999999899</v>
      </c>
      <c r="D240">
        <v>1792.5378000000001</v>
      </c>
      <c r="E240">
        <v>3.0529999999999999</v>
      </c>
      <c r="F240">
        <v>1895</v>
      </c>
      <c r="G240" t="str">
        <f t="shared" si="3"/>
        <v>PICO</v>
      </c>
    </row>
    <row r="241" spans="1:7" x14ac:dyDescent="0.4">
      <c r="A241" t="s">
        <v>66</v>
      </c>
      <c r="B241">
        <v>-119.4324</v>
      </c>
      <c r="C241">
        <v>37.261499999999899</v>
      </c>
      <c r="D241">
        <v>1792.5378000000001</v>
      </c>
      <c r="E241">
        <v>0.73899999999999999</v>
      </c>
      <c r="F241">
        <v>1895</v>
      </c>
      <c r="G241" t="str">
        <f t="shared" si="3"/>
        <v>PICO</v>
      </c>
    </row>
    <row r="242" spans="1:7" x14ac:dyDescent="0.4">
      <c r="A242" t="s">
        <v>67</v>
      </c>
      <c r="B242">
        <v>-119.4324</v>
      </c>
      <c r="C242">
        <v>37.261499999999899</v>
      </c>
      <c r="D242">
        <v>1792.5378000000001</v>
      </c>
      <c r="E242">
        <v>1.0669999999999999</v>
      </c>
      <c r="F242">
        <v>1895</v>
      </c>
      <c r="G242" t="str">
        <f t="shared" si="3"/>
        <v>PIFL</v>
      </c>
    </row>
    <row r="243" spans="1:7" x14ac:dyDescent="0.4">
      <c r="A243" t="s">
        <v>69</v>
      </c>
      <c r="B243">
        <v>7.0965499999999997</v>
      </c>
      <c r="C243">
        <v>43.006549999999997</v>
      </c>
      <c r="D243" t="s">
        <v>112</v>
      </c>
      <c r="E243">
        <v>-0.5</v>
      </c>
      <c r="F243">
        <v>1981</v>
      </c>
      <c r="G243" t="str">
        <f t="shared" si="3"/>
        <v>PIHA</v>
      </c>
    </row>
    <row r="244" spans="1:7" x14ac:dyDescent="0.4">
      <c r="A244" t="s">
        <v>70</v>
      </c>
      <c r="B244">
        <v>-119.4324</v>
      </c>
      <c r="C244">
        <v>37.261499999999899</v>
      </c>
      <c r="D244">
        <v>1792.5378000000001</v>
      </c>
      <c r="E244">
        <v>4.0140000000000002</v>
      </c>
      <c r="F244">
        <v>1895</v>
      </c>
      <c r="G244" t="str">
        <f t="shared" si="3"/>
        <v>PIMO</v>
      </c>
    </row>
    <row r="245" spans="1:7" x14ac:dyDescent="0.4">
      <c r="A245" t="s">
        <v>70</v>
      </c>
      <c r="B245">
        <v>-121.3335</v>
      </c>
      <c r="C245">
        <v>38.500700000000002</v>
      </c>
      <c r="D245">
        <v>17.796066</v>
      </c>
      <c r="E245">
        <v>-5.8630000000000004</v>
      </c>
      <c r="F245">
        <v>1930</v>
      </c>
      <c r="G245" t="str">
        <f t="shared" si="3"/>
        <v>PIMO</v>
      </c>
    </row>
    <row r="246" spans="1:7" x14ac:dyDescent="0.4">
      <c r="A246" t="s">
        <v>70</v>
      </c>
      <c r="B246">
        <v>-119.4324</v>
      </c>
      <c r="C246">
        <v>37.261499999999899</v>
      </c>
      <c r="D246">
        <v>1792.5378000000001</v>
      </c>
      <c r="E246">
        <v>-3.2639999999999998</v>
      </c>
      <c r="F246">
        <v>1895</v>
      </c>
      <c r="G246" t="str">
        <f t="shared" si="3"/>
        <v>PIMO</v>
      </c>
    </row>
    <row r="247" spans="1:7" x14ac:dyDescent="0.4">
      <c r="A247" t="s">
        <v>70</v>
      </c>
      <c r="B247">
        <v>-120.3503</v>
      </c>
      <c r="C247">
        <v>39.061799999999899</v>
      </c>
      <c r="D247">
        <v>1967.6869999999999</v>
      </c>
      <c r="E247">
        <v>0.80300000000000005</v>
      </c>
      <c r="F247">
        <v>1934</v>
      </c>
      <c r="G247" t="str">
        <f t="shared" si="3"/>
        <v>PIMO</v>
      </c>
    </row>
    <row r="248" spans="1:7" x14ac:dyDescent="0.4">
      <c r="A248" t="s">
        <v>70</v>
      </c>
      <c r="B248">
        <v>-120.3503</v>
      </c>
      <c r="C248">
        <v>39.061799999999899</v>
      </c>
      <c r="D248">
        <v>1967.6869999999999</v>
      </c>
      <c r="E248">
        <v>1.427</v>
      </c>
      <c r="F248">
        <v>1934</v>
      </c>
      <c r="G248" t="str">
        <f t="shared" si="3"/>
        <v>PIMO</v>
      </c>
    </row>
    <row r="249" spans="1:7" x14ac:dyDescent="0.4">
      <c r="A249" t="s">
        <v>70</v>
      </c>
      <c r="B249">
        <v>-120.3503</v>
      </c>
      <c r="C249">
        <v>39.061799999999899</v>
      </c>
      <c r="D249">
        <v>1967.6869999999999</v>
      </c>
      <c r="E249">
        <v>1.86</v>
      </c>
      <c r="F249">
        <v>1934</v>
      </c>
      <c r="G249" t="str">
        <f t="shared" si="3"/>
        <v>PIMO</v>
      </c>
    </row>
    <row r="250" spans="1:7" x14ac:dyDescent="0.4">
      <c r="A250" t="s">
        <v>71</v>
      </c>
      <c r="B250">
        <v>7.0965499999999997</v>
      </c>
      <c r="C250">
        <v>43.006549999999997</v>
      </c>
      <c r="D250" t="s">
        <v>112</v>
      </c>
      <c r="E250">
        <v>-5.3570000000000002</v>
      </c>
      <c r="F250">
        <v>1981</v>
      </c>
      <c r="G250" t="str">
        <f t="shared" si="3"/>
        <v>PINI</v>
      </c>
    </row>
    <row r="251" spans="1:7" x14ac:dyDescent="0.4">
      <c r="A251" t="s">
        <v>71</v>
      </c>
      <c r="B251">
        <v>10.8605</v>
      </c>
      <c r="C251">
        <v>45.7196</v>
      </c>
      <c r="D251">
        <v>1367.8629000000001</v>
      </c>
      <c r="E251">
        <v>-3.1139999999999999</v>
      </c>
      <c r="F251">
        <v>1989</v>
      </c>
      <c r="G251" t="str">
        <f t="shared" si="3"/>
        <v>PINI</v>
      </c>
    </row>
    <row r="252" spans="1:7" x14ac:dyDescent="0.4">
      <c r="A252" t="s">
        <v>71</v>
      </c>
      <c r="B252">
        <v>7.0965499999999997</v>
      </c>
      <c r="C252">
        <v>43.006549999999997</v>
      </c>
      <c r="D252" t="s">
        <v>112</v>
      </c>
      <c r="E252">
        <v>1.071</v>
      </c>
      <c r="F252">
        <v>1981</v>
      </c>
      <c r="G252" t="str">
        <f t="shared" si="3"/>
        <v>PINI</v>
      </c>
    </row>
    <row r="253" spans="1:7" x14ac:dyDescent="0.4">
      <c r="A253" t="s">
        <v>72</v>
      </c>
      <c r="B253">
        <v>7.0965499999999997</v>
      </c>
      <c r="C253">
        <v>43.006549999999997</v>
      </c>
      <c r="D253" t="s">
        <v>112</v>
      </c>
      <c r="E253">
        <v>0.64300000000000002</v>
      </c>
      <c r="F253">
        <v>1981</v>
      </c>
      <c r="G253" t="str">
        <f t="shared" si="3"/>
        <v>PIPI</v>
      </c>
    </row>
    <row r="254" spans="1:7" x14ac:dyDescent="0.4">
      <c r="A254" t="s">
        <v>73</v>
      </c>
      <c r="B254">
        <v>-120.3503</v>
      </c>
      <c r="C254">
        <v>39.061799999999899</v>
      </c>
      <c r="D254">
        <v>1967.6869999999999</v>
      </c>
      <c r="E254">
        <v>0</v>
      </c>
      <c r="F254">
        <v>1934</v>
      </c>
      <c r="G254" t="str">
        <f t="shared" si="3"/>
        <v>PIPO</v>
      </c>
    </row>
    <row r="255" spans="1:7" x14ac:dyDescent="0.4">
      <c r="A255" t="s">
        <v>73</v>
      </c>
      <c r="B255">
        <v>-119.4324</v>
      </c>
      <c r="C255">
        <v>37.261499999999899</v>
      </c>
      <c r="D255">
        <v>1792.5378000000001</v>
      </c>
      <c r="E255">
        <v>0.57799999999999996</v>
      </c>
      <c r="F255">
        <v>1895</v>
      </c>
      <c r="G255" t="str">
        <f t="shared" si="3"/>
        <v>PIPO</v>
      </c>
    </row>
    <row r="256" spans="1:7" x14ac:dyDescent="0.4">
      <c r="A256" t="s">
        <v>73</v>
      </c>
      <c r="B256">
        <v>-121.3335</v>
      </c>
      <c r="C256">
        <v>38.500700000000002</v>
      </c>
      <c r="D256">
        <v>17.796066</v>
      </c>
      <c r="E256">
        <v>0.997</v>
      </c>
      <c r="F256">
        <v>1930</v>
      </c>
      <c r="G256" t="str">
        <f t="shared" si="3"/>
        <v>PIPO</v>
      </c>
    </row>
    <row r="257" spans="1:7" x14ac:dyDescent="0.4">
      <c r="A257" t="s">
        <v>75</v>
      </c>
      <c r="B257">
        <v>2.0886</v>
      </c>
      <c r="C257">
        <v>46.670499999999898</v>
      </c>
      <c r="D257">
        <v>264.83069</v>
      </c>
      <c r="E257">
        <v>-0.86199999999999999</v>
      </c>
      <c r="F257">
        <v>1914</v>
      </c>
      <c r="G257" t="str">
        <f t="shared" si="3"/>
        <v>PISY</v>
      </c>
    </row>
    <row r="258" spans="1:7" x14ac:dyDescent="0.4">
      <c r="A258" t="s">
        <v>75</v>
      </c>
      <c r="B258">
        <v>7.0965499999999997</v>
      </c>
      <c r="C258">
        <v>43.006549999999997</v>
      </c>
      <c r="D258" t="s">
        <v>112</v>
      </c>
      <c r="E258">
        <v>-0.85699999999999998</v>
      </c>
      <c r="F258">
        <v>1981</v>
      </c>
      <c r="G258" t="str">
        <f t="shared" ref="G258:G318" si="4">RIGHT(LEFT(A258,5),4)</f>
        <v>PISY</v>
      </c>
    </row>
    <row r="259" spans="1:7" x14ac:dyDescent="0.4">
      <c r="A259" t="s">
        <v>75</v>
      </c>
      <c r="B259">
        <v>-3.9479000000000002</v>
      </c>
      <c r="C259">
        <v>40.688699999999898</v>
      </c>
      <c r="D259">
        <v>961.90186000000006</v>
      </c>
      <c r="E259">
        <v>-0.54200000000000004</v>
      </c>
      <c r="F259">
        <v>1965</v>
      </c>
      <c r="G259" t="str">
        <f t="shared" si="4"/>
        <v>PISY</v>
      </c>
    </row>
    <row r="260" spans="1:7" x14ac:dyDescent="0.4">
      <c r="A260" t="s">
        <v>75</v>
      </c>
      <c r="B260">
        <v>2.0886</v>
      </c>
      <c r="C260">
        <v>46.670499999999898</v>
      </c>
      <c r="D260">
        <v>264.83069</v>
      </c>
      <c r="E260">
        <v>-0.49</v>
      </c>
      <c r="F260">
        <v>1914</v>
      </c>
      <c r="G260" t="str">
        <f t="shared" si="4"/>
        <v>PISY</v>
      </c>
    </row>
    <row r="261" spans="1:7" x14ac:dyDescent="0.4">
      <c r="A261" t="s">
        <v>75</v>
      </c>
      <c r="B261">
        <v>-3.9479000000000002</v>
      </c>
      <c r="C261">
        <v>40.688699999999898</v>
      </c>
      <c r="D261">
        <v>961.90186000000006</v>
      </c>
      <c r="E261">
        <v>-0.438</v>
      </c>
      <c r="F261">
        <v>1965</v>
      </c>
      <c r="G261" t="str">
        <f t="shared" si="4"/>
        <v>PISY</v>
      </c>
    </row>
    <row r="262" spans="1:7" x14ac:dyDescent="0.4">
      <c r="A262" t="s">
        <v>75</v>
      </c>
      <c r="B262">
        <v>19.6858</v>
      </c>
      <c r="C262">
        <v>48.844700000000003</v>
      </c>
      <c r="D262">
        <v>701.47131000000002</v>
      </c>
      <c r="E262">
        <v>-0.377</v>
      </c>
      <c r="F262">
        <v>1966</v>
      </c>
      <c r="G262" t="str">
        <f t="shared" si="4"/>
        <v>PISY</v>
      </c>
    </row>
    <row r="263" spans="1:7" x14ac:dyDescent="0.4">
      <c r="A263" t="s">
        <v>75</v>
      </c>
      <c r="B263">
        <v>-3.9479000000000002</v>
      </c>
      <c r="C263">
        <v>40.688699999999898</v>
      </c>
      <c r="D263">
        <v>961.90186000000006</v>
      </c>
      <c r="E263">
        <v>-0.33300000000000002</v>
      </c>
      <c r="F263">
        <v>1965</v>
      </c>
      <c r="G263" t="str">
        <f t="shared" si="4"/>
        <v>PISY</v>
      </c>
    </row>
    <row r="264" spans="1:7" x14ac:dyDescent="0.4">
      <c r="A264" t="s">
        <v>75</v>
      </c>
      <c r="B264">
        <v>5.3539166666666702</v>
      </c>
      <c r="C264">
        <v>45.007733333333299</v>
      </c>
      <c r="D264">
        <v>761.62267999999995</v>
      </c>
      <c r="E264">
        <v>-0.23300000000000001</v>
      </c>
      <c r="F264">
        <v>1905</v>
      </c>
      <c r="G264" t="str">
        <f t="shared" si="4"/>
        <v>PISY</v>
      </c>
    </row>
    <row r="265" spans="1:7" x14ac:dyDescent="0.4">
      <c r="A265" t="s">
        <v>75</v>
      </c>
      <c r="B265">
        <v>19.6858</v>
      </c>
      <c r="C265">
        <v>48.844700000000003</v>
      </c>
      <c r="D265">
        <v>701.47131000000002</v>
      </c>
      <c r="E265">
        <v>-1.4E-2</v>
      </c>
      <c r="F265">
        <v>1966</v>
      </c>
      <c r="G265" t="str">
        <f t="shared" si="4"/>
        <v>PISY</v>
      </c>
    </row>
    <row r="266" spans="1:7" x14ac:dyDescent="0.4">
      <c r="A266" t="s">
        <v>75</v>
      </c>
      <c r="B266">
        <v>19.6858</v>
      </c>
      <c r="C266">
        <v>48.844700000000003</v>
      </c>
      <c r="D266">
        <v>701.47131000000002</v>
      </c>
      <c r="E266">
        <v>0</v>
      </c>
      <c r="F266">
        <v>1966</v>
      </c>
      <c r="G266" t="str">
        <f t="shared" si="4"/>
        <v>PISY</v>
      </c>
    </row>
    <row r="267" spans="1:7" x14ac:dyDescent="0.4">
      <c r="A267" t="s">
        <v>75</v>
      </c>
      <c r="B267">
        <v>13.8377</v>
      </c>
      <c r="C267">
        <v>62.2349999999999</v>
      </c>
      <c r="D267">
        <v>402.63736</v>
      </c>
      <c r="E267">
        <v>0.35</v>
      </c>
      <c r="F267">
        <v>1915</v>
      </c>
      <c r="G267" t="str">
        <f t="shared" si="4"/>
        <v>PISY</v>
      </c>
    </row>
    <row r="268" spans="1:7" x14ac:dyDescent="0.4">
      <c r="A268" t="s">
        <v>75</v>
      </c>
      <c r="B268">
        <v>-0.96830000000000005</v>
      </c>
      <c r="C268">
        <v>42.850900000000003</v>
      </c>
      <c r="D268">
        <v>1479.7910999999999</v>
      </c>
      <c r="E268">
        <v>0.5</v>
      </c>
      <c r="F268">
        <v>1971</v>
      </c>
      <c r="G268" t="str">
        <f t="shared" si="4"/>
        <v>PISY</v>
      </c>
    </row>
    <row r="269" spans="1:7" x14ac:dyDescent="0.4">
      <c r="A269" t="s">
        <v>75</v>
      </c>
      <c r="B269">
        <v>33.547899999999899</v>
      </c>
      <c r="C269">
        <v>67.695300000000003</v>
      </c>
      <c r="D269">
        <v>875.46960000000001</v>
      </c>
      <c r="E269">
        <v>0.54</v>
      </c>
      <c r="F269">
        <v>1958</v>
      </c>
      <c r="G269" t="str">
        <f t="shared" si="4"/>
        <v>PISY</v>
      </c>
    </row>
    <row r="270" spans="1:7" x14ac:dyDescent="0.4">
      <c r="A270" t="s">
        <v>75</v>
      </c>
      <c r="B270">
        <v>2.0886</v>
      </c>
      <c r="C270">
        <v>46.670499999999898</v>
      </c>
      <c r="D270">
        <v>264.83069</v>
      </c>
      <c r="E270">
        <v>0.621</v>
      </c>
      <c r="F270">
        <v>1914</v>
      </c>
      <c r="G270" t="str">
        <f t="shared" si="4"/>
        <v>PISY</v>
      </c>
    </row>
    <row r="271" spans="1:7" x14ac:dyDescent="0.4">
      <c r="A271" t="s">
        <v>75</v>
      </c>
      <c r="B271">
        <v>13.8377</v>
      </c>
      <c r="C271">
        <v>62.2349999999999</v>
      </c>
      <c r="D271">
        <v>402.63736</v>
      </c>
      <c r="E271">
        <v>0.81</v>
      </c>
      <c r="F271">
        <v>1915</v>
      </c>
      <c r="G271" t="str">
        <f t="shared" si="4"/>
        <v>PISY</v>
      </c>
    </row>
    <row r="272" spans="1:7" x14ac:dyDescent="0.4">
      <c r="A272" t="s">
        <v>75</v>
      </c>
      <c r="B272">
        <v>-0.96830000000000005</v>
      </c>
      <c r="C272">
        <v>42.850900000000003</v>
      </c>
      <c r="D272">
        <v>1479.7910999999999</v>
      </c>
      <c r="E272">
        <v>1.25</v>
      </c>
      <c r="F272">
        <v>1971</v>
      </c>
      <c r="G272" t="str">
        <f t="shared" si="4"/>
        <v>PISY</v>
      </c>
    </row>
    <row r="273" spans="1:7" x14ac:dyDescent="0.4">
      <c r="A273" t="s">
        <v>75</v>
      </c>
      <c r="B273">
        <v>13.8377</v>
      </c>
      <c r="C273">
        <v>62.2349999999999</v>
      </c>
      <c r="D273">
        <v>402.63736</v>
      </c>
      <c r="E273">
        <v>1.66</v>
      </c>
      <c r="F273">
        <v>1975</v>
      </c>
      <c r="G273" t="str">
        <f t="shared" si="4"/>
        <v>PISY</v>
      </c>
    </row>
    <row r="274" spans="1:7" x14ac:dyDescent="0.4">
      <c r="A274" t="s">
        <v>75</v>
      </c>
      <c r="B274">
        <v>10.8605</v>
      </c>
      <c r="C274">
        <v>45.7196</v>
      </c>
      <c r="D274">
        <v>1367.8629000000001</v>
      </c>
      <c r="E274">
        <v>5.2240000000000002</v>
      </c>
      <c r="F274">
        <v>1989</v>
      </c>
      <c r="G274" t="str">
        <f t="shared" si="4"/>
        <v>PISY</v>
      </c>
    </row>
    <row r="275" spans="1:7" x14ac:dyDescent="0.4">
      <c r="A275" t="s">
        <v>75</v>
      </c>
      <c r="B275">
        <v>13.0769</v>
      </c>
      <c r="C275">
        <v>63.4405</v>
      </c>
      <c r="D275">
        <v>1097.6077</v>
      </c>
      <c r="E275">
        <v>6.6669999999999998</v>
      </c>
      <c r="F275">
        <v>1948</v>
      </c>
      <c r="G275" t="str">
        <f t="shared" si="4"/>
        <v>PISY</v>
      </c>
    </row>
    <row r="276" spans="1:7" x14ac:dyDescent="0.4">
      <c r="A276" t="s">
        <v>66</v>
      </c>
      <c r="B276">
        <v>-119.4324</v>
      </c>
      <c r="C276">
        <v>37.261499999999899</v>
      </c>
      <c r="D276">
        <v>1792.5378000000001</v>
      </c>
      <c r="E276">
        <v>-0.14199999999999999</v>
      </c>
      <c r="F276">
        <v>1895</v>
      </c>
      <c r="G276" t="str">
        <f t="shared" si="4"/>
        <v>PICO</v>
      </c>
    </row>
    <row r="277" spans="1:7" x14ac:dyDescent="0.4">
      <c r="A277" t="s">
        <v>64</v>
      </c>
      <c r="B277">
        <v>-155.27340000000001</v>
      </c>
      <c r="C277">
        <v>19.430399999999899</v>
      </c>
      <c r="D277">
        <v>1133.0050000000001</v>
      </c>
      <c r="E277">
        <v>0</v>
      </c>
      <c r="F277">
        <v>1966</v>
      </c>
      <c r="G277" t="str">
        <f t="shared" si="4"/>
        <v>PIAL</v>
      </c>
    </row>
    <row r="278" spans="1:7" x14ac:dyDescent="0.4">
      <c r="A278" t="s">
        <v>64</v>
      </c>
      <c r="B278">
        <v>-155.27340000000001</v>
      </c>
      <c r="C278">
        <v>19.430399999999899</v>
      </c>
      <c r="D278">
        <v>1133.0050000000001</v>
      </c>
      <c r="E278">
        <v>0</v>
      </c>
      <c r="F278">
        <v>1966</v>
      </c>
      <c r="G278" t="str">
        <f t="shared" si="4"/>
        <v>PIAL</v>
      </c>
    </row>
    <row r="279" spans="1:7" x14ac:dyDescent="0.4">
      <c r="A279" t="s">
        <v>64</v>
      </c>
      <c r="B279">
        <v>-155.27340000000001</v>
      </c>
      <c r="C279">
        <v>19.430399999999899</v>
      </c>
      <c r="D279">
        <v>1133.0050000000001</v>
      </c>
      <c r="E279">
        <v>0.191</v>
      </c>
      <c r="F279">
        <v>1966</v>
      </c>
      <c r="G279" t="str">
        <f t="shared" si="4"/>
        <v>PIAL</v>
      </c>
    </row>
    <row r="280" spans="1:7" x14ac:dyDescent="0.4">
      <c r="A280" t="s">
        <v>76</v>
      </c>
      <c r="B280">
        <v>7.0965499999999997</v>
      </c>
      <c r="C280">
        <v>43.006549999999997</v>
      </c>
      <c r="D280" t="s">
        <v>112</v>
      </c>
      <c r="E280">
        <v>-0.78600000000000003</v>
      </c>
      <c r="F280">
        <v>1981</v>
      </c>
      <c r="G280" t="str">
        <f t="shared" si="4"/>
        <v>PITE</v>
      </c>
    </row>
    <row r="281" spans="1:7" x14ac:dyDescent="0.4">
      <c r="A281" t="s">
        <v>76</v>
      </c>
      <c r="B281">
        <v>10.8605</v>
      </c>
      <c r="C281">
        <v>45.7196</v>
      </c>
      <c r="D281">
        <v>1367.8629000000001</v>
      </c>
      <c r="E281">
        <v>2.4209999999999998</v>
      </c>
      <c r="F281">
        <v>1989</v>
      </c>
      <c r="G281" t="str">
        <f t="shared" si="4"/>
        <v>PITE</v>
      </c>
    </row>
    <row r="282" spans="1:7" x14ac:dyDescent="0.4">
      <c r="A282" t="s">
        <v>77</v>
      </c>
      <c r="B282">
        <v>-119.4324</v>
      </c>
      <c r="C282">
        <v>37.261499999999899</v>
      </c>
      <c r="D282">
        <v>1792.5378000000001</v>
      </c>
      <c r="E282">
        <v>-1.4</v>
      </c>
      <c r="F282">
        <v>1895</v>
      </c>
      <c r="G282" t="str">
        <f t="shared" si="4"/>
        <v>PLRA</v>
      </c>
    </row>
    <row r="283" spans="1:7" x14ac:dyDescent="0.4">
      <c r="A283" t="s">
        <v>78</v>
      </c>
      <c r="B283">
        <v>7.9573</v>
      </c>
      <c r="C283">
        <v>60.697299999999899</v>
      </c>
      <c r="D283">
        <v>1156.1946</v>
      </c>
      <c r="E283">
        <v>-0.61099999999999999</v>
      </c>
      <c r="F283">
        <v>2001</v>
      </c>
      <c r="G283" t="str">
        <f t="shared" si="4"/>
        <v>POAL</v>
      </c>
    </row>
    <row r="284" spans="1:7" x14ac:dyDescent="0.4">
      <c r="A284" t="s">
        <v>78</v>
      </c>
      <c r="B284">
        <v>24.6996</v>
      </c>
      <c r="C284">
        <v>69.812799999999896</v>
      </c>
      <c r="D284">
        <v>412.95316000000003</v>
      </c>
      <c r="E284">
        <v>-0.44400000000000001</v>
      </c>
      <c r="F284">
        <v>1982</v>
      </c>
      <c r="G284" t="str">
        <f t="shared" si="4"/>
        <v>POAL</v>
      </c>
    </row>
    <row r="285" spans="1:7" x14ac:dyDescent="0.4">
      <c r="A285" t="s">
        <v>78</v>
      </c>
      <c r="B285">
        <v>10.8605</v>
      </c>
      <c r="C285">
        <v>45.7196</v>
      </c>
      <c r="D285">
        <v>1367.8629000000001</v>
      </c>
      <c r="E285">
        <v>-0.27700000000000002</v>
      </c>
      <c r="F285">
        <v>1989</v>
      </c>
      <c r="G285" t="str">
        <f t="shared" si="4"/>
        <v>POAL</v>
      </c>
    </row>
    <row r="286" spans="1:7" x14ac:dyDescent="0.4">
      <c r="A286" t="s">
        <v>78</v>
      </c>
      <c r="B286">
        <v>24.6996</v>
      </c>
      <c r="C286">
        <v>69.812799999999896</v>
      </c>
      <c r="D286">
        <v>412.95316000000003</v>
      </c>
      <c r="E286">
        <v>-7.3999999999999996E-2</v>
      </c>
      <c r="F286">
        <v>1982</v>
      </c>
      <c r="G286" t="str">
        <f t="shared" si="4"/>
        <v>POAL</v>
      </c>
    </row>
    <row r="287" spans="1:7" x14ac:dyDescent="0.4">
      <c r="A287" t="s">
        <v>78</v>
      </c>
      <c r="B287">
        <v>9.9322999999999997</v>
      </c>
      <c r="C287">
        <v>46.615900000000003</v>
      </c>
      <c r="D287">
        <v>2531.1504</v>
      </c>
      <c r="E287">
        <v>0.16</v>
      </c>
      <c r="F287">
        <v>1835</v>
      </c>
      <c r="G287" t="str">
        <f t="shared" si="4"/>
        <v>POAL</v>
      </c>
    </row>
    <row r="288" spans="1:7" x14ac:dyDescent="0.4">
      <c r="A288" t="s">
        <v>78</v>
      </c>
      <c r="B288">
        <v>10.0448</v>
      </c>
      <c r="C288">
        <v>46.602699999999899</v>
      </c>
      <c r="D288">
        <v>1978.8960999999999</v>
      </c>
      <c r="E288">
        <v>0.48</v>
      </c>
      <c r="F288">
        <v>1912</v>
      </c>
      <c r="G288" t="str">
        <f t="shared" si="4"/>
        <v>POAL</v>
      </c>
    </row>
    <row r="289" spans="1:7" x14ac:dyDescent="0.4">
      <c r="A289" t="s">
        <v>78</v>
      </c>
      <c r="B289">
        <v>9.9122000000000003</v>
      </c>
      <c r="C289">
        <v>46.349400000000003</v>
      </c>
      <c r="D289">
        <v>2860.6680000000001</v>
      </c>
      <c r="E289">
        <v>2.2450000000000001</v>
      </c>
      <c r="F289">
        <v>1954</v>
      </c>
      <c r="G289" t="str">
        <f t="shared" si="4"/>
        <v>POAL</v>
      </c>
    </row>
    <row r="290" spans="1:7" x14ac:dyDescent="0.4">
      <c r="A290" t="s">
        <v>79</v>
      </c>
      <c r="B290">
        <v>-119.4324</v>
      </c>
      <c r="C290">
        <v>37.261499999999899</v>
      </c>
      <c r="D290">
        <v>1792.5378000000001</v>
      </c>
      <c r="E290">
        <v>3.7320000000000002</v>
      </c>
      <c r="F290">
        <v>1895</v>
      </c>
      <c r="G290" t="str">
        <f t="shared" si="4"/>
        <v>POFR</v>
      </c>
    </row>
    <row r="291" spans="1:7" x14ac:dyDescent="0.4">
      <c r="A291" t="s">
        <v>78</v>
      </c>
      <c r="B291">
        <v>11.3355999999999</v>
      </c>
      <c r="C291">
        <v>46.9102999999999</v>
      </c>
      <c r="D291">
        <v>1793.2164</v>
      </c>
      <c r="E291">
        <v>-3.5960000000000001</v>
      </c>
      <c r="F291">
        <v>1970</v>
      </c>
      <c r="G291" t="str">
        <f t="shared" si="4"/>
        <v>POAL</v>
      </c>
    </row>
    <row r="292" spans="1:7" x14ac:dyDescent="0.4">
      <c r="A292" t="s">
        <v>78</v>
      </c>
      <c r="B292">
        <v>11.3355999999999</v>
      </c>
      <c r="C292">
        <v>46.9102999999999</v>
      </c>
      <c r="D292">
        <v>1793.2164</v>
      </c>
      <c r="E292">
        <v>-0.44700000000000001</v>
      </c>
      <c r="F292">
        <v>1970</v>
      </c>
      <c r="G292" t="str">
        <f t="shared" si="4"/>
        <v>POAL</v>
      </c>
    </row>
    <row r="293" spans="1:7" x14ac:dyDescent="0.4">
      <c r="A293" t="s">
        <v>78</v>
      </c>
      <c r="B293">
        <v>11.3355999999999</v>
      </c>
      <c r="C293">
        <v>46.9102999999999</v>
      </c>
      <c r="D293">
        <v>1793.2164</v>
      </c>
      <c r="E293">
        <v>0.191</v>
      </c>
      <c r="F293">
        <v>1970</v>
      </c>
      <c r="G293" t="str">
        <f t="shared" si="4"/>
        <v>POAL</v>
      </c>
    </row>
    <row r="294" spans="1:7" x14ac:dyDescent="0.4">
      <c r="A294" t="s">
        <v>78</v>
      </c>
      <c r="B294">
        <v>10.8605</v>
      </c>
      <c r="C294">
        <v>45.7196</v>
      </c>
      <c r="D294">
        <v>1367.8629000000001</v>
      </c>
      <c r="E294">
        <v>4.2089999999999996</v>
      </c>
      <c r="F294">
        <v>1989</v>
      </c>
      <c r="G294" t="str">
        <f t="shared" si="4"/>
        <v>POAL</v>
      </c>
    </row>
    <row r="295" spans="1:7" x14ac:dyDescent="0.4">
      <c r="A295" t="s">
        <v>78</v>
      </c>
      <c r="B295">
        <v>10.8605</v>
      </c>
      <c r="C295">
        <v>45.7196</v>
      </c>
      <c r="D295">
        <v>1367.8629000000001</v>
      </c>
      <c r="E295">
        <v>12.058</v>
      </c>
      <c r="F295">
        <v>1989</v>
      </c>
      <c r="G295" t="str">
        <f t="shared" si="4"/>
        <v>POAL</v>
      </c>
    </row>
    <row r="296" spans="1:7" x14ac:dyDescent="0.4">
      <c r="A296" t="s">
        <v>79</v>
      </c>
      <c r="B296">
        <v>-119.4324</v>
      </c>
      <c r="C296">
        <v>37.261499999999899</v>
      </c>
      <c r="D296">
        <v>1792.5378000000001</v>
      </c>
      <c r="E296">
        <v>2.476</v>
      </c>
      <c r="F296">
        <v>1895</v>
      </c>
      <c r="G296" t="str">
        <f t="shared" si="4"/>
        <v>POFR</v>
      </c>
    </row>
    <row r="297" spans="1:7" x14ac:dyDescent="0.4">
      <c r="A297" t="s">
        <v>80</v>
      </c>
      <c r="B297">
        <v>10.8605</v>
      </c>
      <c r="C297">
        <v>45.7196</v>
      </c>
      <c r="D297">
        <v>1367.8629000000001</v>
      </c>
      <c r="E297">
        <v>1.4339999999999999</v>
      </c>
      <c r="F297">
        <v>1989</v>
      </c>
      <c r="G297" t="str">
        <f t="shared" si="4"/>
        <v>PONI</v>
      </c>
    </row>
    <row r="298" spans="1:7" x14ac:dyDescent="0.4">
      <c r="A298" t="s">
        <v>81</v>
      </c>
      <c r="B298">
        <v>24.6996</v>
      </c>
      <c r="C298">
        <v>69.812799999999896</v>
      </c>
      <c r="D298">
        <v>412.95316000000003</v>
      </c>
      <c r="E298">
        <v>-0.63</v>
      </c>
      <c r="F298">
        <v>1982</v>
      </c>
      <c r="G298" t="str">
        <f t="shared" si="4"/>
        <v>POTR</v>
      </c>
    </row>
    <row r="299" spans="1:7" x14ac:dyDescent="0.4">
      <c r="A299" t="s">
        <v>81</v>
      </c>
      <c r="B299">
        <v>13.4633</v>
      </c>
      <c r="C299">
        <v>48.921500000000002</v>
      </c>
      <c r="D299">
        <v>869.87121999999999</v>
      </c>
      <c r="E299">
        <v>2.0190000000000001</v>
      </c>
      <c r="F299">
        <v>1902</v>
      </c>
      <c r="G299" t="str">
        <f t="shared" si="4"/>
        <v>POTR</v>
      </c>
    </row>
    <row r="300" spans="1:7" x14ac:dyDescent="0.4">
      <c r="A300" t="s">
        <v>81</v>
      </c>
      <c r="B300">
        <v>10.8605</v>
      </c>
      <c r="C300">
        <v>45.7196</v>
      </c>
      <c r="D300">
        <v>1367.8629000000001</v>
      </c>
      <c r="E300">
        <v>12.689</v>
      </c>
      <c r="F300">
        <v>1989</v>
      </c>
      <c r="G300" t="str">
        <f t="shared" si="4"/>
        <v>POTR</v>
      </c>
    </row>
    <row r="301" spans="1:7" x14ac:dyDescent="0.4">
      <c r="A301" t="s">
        <v>81</v>
      </c>
      <c r="B301">
        <v>7.0965499999999997</v>
      </c>
      <c r="C301">
        <v>43.006549999999997</v>
      </c>
      <c r="D301" t="s">
        <v>112</v>
      </c>
      <c r="E301">
        <v>20.786000000000001</v>
      </c>
      <c r="F301">
        <v>1981</v>
      </c>
      <c r="G301" t="str">
        <f t="shared" si="4"/>
        <v>POTR</v>
      </c>
    </row>
    <row r="302" spans="1:7" x14ac:dyDescent="0.4">
      <c r="A302" t="s">
        <v>121</v>
      </c>
      <c r="B302">
        <v>-119.4324</v>
      </c>
      <c r="C302">
        <v>37.261499999999899</v>
      </c>
      <c r="D302">
        <v>1792.5378000000001</v>
      </c>
      <c r="E302">
        <v>4.3140000000000001</v>
      </c>
      <c r="F302">
        <v>1895</v>
      </c>
      <c r="G302" t="str">
        <f>RIGHT(LEFT(A302,5),4)</f>
        <v>POTE</v>
      </c>
    </row>
    <row r="303" spans="1:7" x14ac:dyDescent="0.4">
      <c r="A303" t="s">
        <v>122</v>
      </c>
      <c r="B303">
        <v>-119.4324</v>
      </c>
      <c r="C303">
        <v>37.261499999999899</v>
      </c>
      <c r="D303">
        <v>1792.5378000000001</v>
      </c>
      <c r="E303">
        <v>5.5179999999999998</v>
      </c>
      <c r="F303">
        <v>1895</v>
      </c>
      <c r="G303" t="str">
        <f t="shared" si="4"/>
        <v>POTI</v>
      </c>
    </row>
    <row r="304" spans="1:7" x14ac:dyDescent="0.4">
      <c r="A304" t="s">
        <v>78</v>
      </c>
      <c r="B304">
        <v>10.8605</v>
      </c>
      <c r="C304">
        <v>45.7196</v>
      </c>
      <c r="D304">
        <v>1367.8629000000001</v>
      </c>
      <c r="E304">
        <v>3.806</v>
      </c>
      <c r="F304">
        <v>1989</v>
      </c>
      <c r="G304" t="str">
        <f t="shared" si="4"/>
        <v>POAL</v>
      </c>
    </row>
    <row r="305" spans="1:7" x14ac:dyDescent="0.4">
      <c r="A305" t="s">
        <v>79</v>
      </c>
      <c r="B305">
        <v>9.9322999999999997</v>
      </c>
      <c r="C305">
        <v>46.615900000000003</v>
      </c>
      <c r="D305">
        <v>2531.1504</v>
      </c>
      <c r="E305">
        <v>0.01</v>
      </c>
      <c r="F305">
        <v>1835</v>
      </c>
      <c r="G305" t="str">
        <f t="shared" si="4"/>
        <v>POFR</v>
      </c>
    </row>
    <row r="306" spans="1:7" x14ac:dyDescent="0.4">
      <c r="A306" t="s">
        <v>79</v>
      </c>
      <c r="B306">
        <v>10.0448</v>
      </c>
      <c r="C306">
        <v>46.602699999999899</v>
      </c>
      <c r="D306">
        <v>1978.8960999999999</v>
      </c>
      <c r="E306">
        <v>1.998</v>
      </c>
      <c r="F306">
        <v>1912</v>
      </c>
      <c r="G306" t="str">
        <f t="shared" si="4"/>
        <v>POFR</v>
      </c>
    </row>
    <row r="307" spans="1:7" x14ac:dyDescent="0.4">
      <c r="A307" t="s">
        <v>80</v>
      </c>
      <c r="B307">
        <v>10.8605</v>
      </c>
      <c r="C307">
        <v>45.7196</v>
      </c>
      <c r="D307">
        <v>1367.8629000000001</v>
      </c>
      <c r="E307">
        <v>16.23</v>
      </c>
      <c r="F307">
        <v>1989</v>
      </c>
      <c r="G307" t="str">
        <f t="shared" si="4"/>
        <v>PONI</v>
      </c>
    </row>
    <row r="308" spans="1:7" x14ac:dyDescent="0.4">
      <c r="A308" t="s">
        <v>87</v>
      </c>
      <c r="B308">
        <v>10.8605</v>
      </c>
      <c r="C308">
        <v>45.7196</v>
      </c>
      <c r="D308">
        <v>1367.8629000000001</v>
      </c>
      <c r="E308">
        <v>7.42</v>
      </c>
      <c r="F308">
        <v>1989</v>
      </c>
      <c r="G308" t="str">
        <f t="shared" si="4"/>
        <v>PRSP</v>
      </c>
    </row>
    <row r="309" spans="1:7" x14ac:dyDescent="0.4">
      <c r="A309" t="s">
        <v>82</v>
      </c>
      <c r="B309">
        <v>5.3539166666666702</v>
      </c>
      <c r="C309">
        <v>45.007733333333299</v>
      </c>
      <c r="D309">
        <v>761.62267999999995</v>
      </c>
      <c r="E309">
        <v>-0.54400000000000004</v>
      </c>
      <c r="F309">
        <v>1905</v>
      </c>
      <c r="G309" t="str">
        <f t="shared" si="4"/>
        <v>PRAV</v>
      </c>
    </row>
    <row r="310" spans="1:7" x14ac:dyDescent="0.4">
      <c r="A310" t="s">
        <v>82</v>
      </c>
      <c r="B310">
        <v>2.0886</v>
      </c>
      <c r="C310">
        <v>46.670499999999898</v>
      </c>
      <c r="D310">
        <v>264.83069</v>
      </c>
      <c r="E310">
        <v>0.65500000000000003</v>
      </c>
      <c r="F310">
        <v>1914</v>
      </c>
      <c r="G310" t="str">
        <f t="shared" si="4"/>
        <v>PRAV</v>
      </c>
    </row>
    <row r="311" spans="1:7" x14ac:dyDescent="0.4">
      <c r="A311" t="s">
        <v>82</v>
      </c>
      <c r="B311">
        <v>2.0886</v>
      </c>
      <c r="C311">
        <v>46.670499999999898</v>
      </c>
      <c r="D311">
        <v>264.83069</v>
      </c>
      <c r="E311">
        <v>1.129</v>
      </c>
      <c r="F311">
        <v>1914</v>
      </c>
      <c r="G311" t="str">
        <f t="shared" si="4"/>
        <v>PRAV</v>
      </c>
    </row>
    <row r="312" spans="1:7" x14ac:dyDescent="0.4">
      <c r="A312" t="s">
        <v>82</v>
      </c>
      <c r="B312">
        <v>10.8605</v>
      </c>
      <c r="C312">
        <v>45.7196</v>
      </c>
      <c r="D312">
        <v>1367.8629000000001</v>
      </c>
      <c r="E312">
        <v>2.1709999999999998</v>
      </c>
      <c r="F312">
        <v>1989</v>
      </c>
      <c r="G312" t="str">
        <f t="shared" si="4"/>
        <v>PRAV</v>
      </c>
    </row>
    <row r="313" spans="1:7" x14ac:dyDescent="0.4">
      <c r="A313" t="s">
        <v>82</v>
      </c>
      <c r="B313">
        <v>2.0886</v>
      </c>
      <c r="C313">
        <v>46.670499999999898</v>
      </c>
      <c r="D313">
        <v>264.83069</v>
      </c>
      <c r="E313">
        <v>2.3340000000000001</v>
      </c>
      <c r="F313">
        <v>1914</v>
      </c>
      <c r="G313" t="str">
        <f t="shared" si="4"/>
        <v>PRAV</v>
      </c>
    </row>
    <row r="314" spans="1:7" x14ac:dyDescent="0.4">
      <c r="A314" t="s">
        <v>82</v>
      </c>
      <c r="B314">
        <v>7.0965499999999997</v>
      </c>
      <c r="C314">
        <v>43.006549999999997</v>
      </c>
      <c r="D314" t="s">
        <v>112</v>
      </c>
      <c r="E314">
        <v>6.4290000000000003</v>
      </c>
      <c r="F314">
        <v>1981</v>
      </c>
      <c r="G314" t="str">
        <f t="shared" si="4"/>
        <v>PRAV</v>
      </c>
    </row>
    <row r="315" spans="1:7" x14ac:dyDescent="0.4">
      <c r="A315" t="s">
        <v>83</v>
      </c>
      <c r="B315">
        <v>-119.4324</v>
      </c>
      <c r="C315">
        <v>37.261499999999899</v>
      </c>
      <c r="D315">
        <v>1792.5378000000001</v>
      </c>
      <c r="E315">
        <v>-3.968</v>
      </c>
      <c r="F315">
        <v>1895</v>
      </c>
      <c r="G315" t="str">
        <f t="shared" si="4"/>
        <v>PRIL</v>
      </c>
    </row>
    <row r="316" spans="1:7" x14ac:dyDescent="0.4">
      <c r="A316" t="s">
        <v>83</v>
      </c>
      <c r="B316">
        <v>-119.4324</v>
      </c>
      <c r="C316">
        <v>37.261499999999899</v>
      </c>
      <c r="D316">
        <v>1792.5378000000001</v>
      </c>
      <c r="E316">
        <v>-0.14899999999999999</v>
      </c>
      <c r="F316">
        <v>1895</v>
      </c>
      <c r="G316" t="str">
        <f t="shared" si="4"/>
        <v>PRIL</v>
      </c>
    </row>
    <row r="317" spans="1:7" x14ac:dyDescent="0.4">
      <c r="A317" t="s">
        <v>83</v>
      </c>
      <c r="B317">
        <v>-119.4324</v>
      </c>
      <c r="C317">
        <v>37.261499999999899</v>
      </c>
      <c r="D317">
        <v>1792.5378000000001</v>
      </c>
      <c r="E317">
        <v>1.212</v>
      </c>
      <c r="F317">
        <v>1895</v>
      </c>
      <c r="G317" t="str">
        <f t="shared" si="4"/>
        <v>PRIL</v>
      </c>
    </row>
    <row r="318" spans="1:7" x14ac:dyDescent="0.4">
      <c r="A318" t="s">
        <v>84</v>
      </c>
      <c r="B318">
        <v>5.3539166666666702</v>
      </c>
      <c r="C318">
        <v>45.007733333333299</v>
      </c>
      <c r="D318">
        <v>761.62267999999995</v>
      </c>
      <c r="E318">
        <v>-0.60199999999999998</v>
      </c>
      <c r="F318">
        <v>1905</v>
      </c>
      <c r="G318" t="str">
        <f t="shared" si="4"/>
        <v>PRMA</v>
      </c>
    </row>
    <row r="319" spans="1:7" x14ac:dyDescent="0.4">
      <c r="A319" t="s">
        <v>84</v>
      </c>
      <c r="B319">
        <v>10.8605</v>
      </c>
      <c r="C319">
        <v>45.7196</v>
      </c>
      <c r="D319">
        <v>1367.8629000000001</v>
      </c>
      <c r="E319">
        <v>0.88700000000000001</v>
      </c>
      <c r="F319">
        <v>1989</v>
      </c>
      <c r="G319" t="str">
        <f t="shared" ref="G319:G382" si="5">RIGHT(LEFT(A319,5),4)</f>
        <v>PRMA</v>
      </c>
    </row>
    <row r="320" spans="1:7" x14ac:dyDescent="0.4">
      <c r="A320" t="s">
        <v>84</v>
      </c>
      <c r="B320">
        <v>7.0965499999999997</v>
      </c>
      <c r="C320">
        <v>43.006549999999997</v>
      </c>
      <c r="D320" t="s">
        <v>112</v>
      </c>
      <c r="E320">
        <v>7.2140000000000004</v>
      </c>
      <c r="F320">
        <v>1981</v>
      </c>
      <c r="G320" t="str">
        <f t="shared" si="5"/>
        <v>PRMA</v>
      </c>
    </row>
    <row r="321" spans="1:7" x14ac:dyDescent="0.4">
      <c r="A321" t="s">
        <v>85</v>
      </c>
      <c r="B321">
        <v>10.8605</v>
      </c>
      <c r="C321">
        <v>45.7196</v>
      </c>
      <c r="D321">
        <v>1367.8629000000001</v>
      </c>
      <c r="E321">
        <v>-3.9569999999999999</v>
      </c>
      <c r="F321">
        <v>1989</v>
      </c>
      <c r="G321" t="str">
        <f t="shared" si="5"/>
        <v>PRPE</v>
      </c>
    </row>
    <row r="322" spans="1:7" x14ac:dyDescent="0.4">
      <c r="A322" t="s">
        <v>85</v>
      </c>
      <c r="B322">
        <v>-119.4324</v>
      </c>
      <c r="C322">
        <v>37.261499999999899</v>
      </c>
      <c r="D322">
        <v>1792.5378000000001</v>
      </c>
      <c r="E322">
        <v>4.8150000000000004</v>
      </c>
      <c r="F322">
        <v>1895</v>
      </c>
      <c r="G322" t="str">
        <f t="shared" si="5"/>
        <v>PRPE</v>
      </c>
    </row>
    <row r="323" spans="1:7" x14ac:dyDescent="0.4">
      <c r="A323" t="s">
        <v>86</v>
      </c>
      <c r="B323">
        <v>-71.156700000000001</v>
      </c>
      <c r="C323">
        <v>45.460099999999898</v>
      </c>
      <c r="D323">
        <v>901.67474000000004</v>
      </c>
      <c r="E323">
        <v>1.349</v>
      </c>
      <c r="F323">
        <v>1970</v>
      </c>
      <c r="G323" t="str">
        <f t="shared" si="5"/>
        <v>PRSE</v>
      </c>
    </row>
    <row r="324" spans="1:7" x14ac:dyDescent="0.4">
      <c r="A324" t="s">
        <v>87</v>
      </c>
      <c r="B324">
        <v>10.8605</v>
      </c>
      <c r="C324">
        <v>45.7196</v>
      </c>
      <c r="D324">
        <v>1367.8629000000001</v>
      </c>
      <c r="E324">
        <v>0.24099999999999999</v>
      </c>
      <c r="F324">
        <v>1989</v>
      </c>
      <c r="G324" t="str">
        <f t="shared" si="5"/>
        <v>PRSP</v>
      </c>
    </row>
    <row r="325" spans="1:7" x14ac:dyDescent="0.4">
      <c r="A325" t="s">
        <v>87</v>
      </c>
      <c r="B325">
        <v>7.0965499999999997</v>
      </c>
      <c r="C325">
        <v>43.006549999999997</v>
      </c>
      <c r="D325" t="s">
        <v>112</v>
      </c>
      <c r="E325">
        <v>1</v>
      </c>
      <c r="F325">
        <v>1981</v>
      </c>
      <c r="G325" t="str">
        <f t="shared" si="5"/>
        <v>PRSP</v>
      </c>
    </row>
    <row r="326" spans="1:7" x14ac:dyDescent="0.4">
      <c r="A326" t="s">
        <v>87</v>
      </c>
      <c r="B326">
        <v>5.3539166666666702</v>
      </c>
      <c r="C326">
        <v>45.007733333333299</v>
      </c>
      <c r="D326">
        <v>761.62267999999995</v>
      </c>
      <c r="E326">
        <v>3.67</v>
      </c>
      <c r="F326">
        <v>1905</v>
      </c>
      <c r="G326" t="str">
        <f t="shared" si="5"/>
        <v>PRSP</v>
      </c>
    </row>
    <row r="327" spans="1:7" x14ac:dyDescent="0.4">
      <c r="A327" t="s">
        <v>88</v>
      </c>
      <c r="B327">
        <v>-71.156700000000001</v>
      </c>
      <c r="C327">
        <v>45.460099999999898</v>
      </c>
      <c r="D327">
        <v>901.67474000000004</v>
      </c>
      <c r="E327">
        <v>1.4650000000000001</v>
      </c>
      <c r="F327">
        <v>1970</v>
      </c>
      <c r="G327" t="str">
        <f t="shared" si="5"/>
        <v>PRVI</v>
      </c>
    </row>
    <row r="328" spans="1:7" x14ac:dyDescent="0.4">
      <c r="A328" t="s">
        <v>88</v>
      </c>
      <c r="B328">
        <v>-119.4324</v>
      </c>
      <c r="C328">
        <v>37.261499999999899</v>
      </c>
      <c r="D328">
        <v>1792.5378000000001</v>
      </c>
      <c r="E328">
        <v>5.7169999999999996</v>
      </c>
      <c r="F328">
        <v>1895</v>
      </c>
      <c r="G328" t="str">
        <f t="shared" si="5"/>
        <v>PRVI</v>
      </c>
    </row>
    <row r="329" spans="1:7" x14ac:dyDescent="0.4">
      <c r="A329" t="s">
        <v>89</v>
      </c>
      <c r="B329">
        <v>-120.3503</v>
      </c>
      <c r="C329">
        <v>39.061799999999899</v>
      </c>
      <c r="D329">
        <v>1967.6869999999999</v>
      </c>
      <c r="E329">
        <v>0</v>
      </c>
      <c r="F329">
        <v>1934</v>
      </c>
      <c r="G329" t="str">
        <f t="shared" si="5"/>
        <v>PSME</v>
      </c>
    </row>
    <row r="330" spans="1:7" x14ac:dyDescent="0.4">
      <c r="A330" t="s">
        <v>89</v>
      </c>
      <c r="B330">
        <v>-110.7542</v>
      </c>
      <c r="C330">
        <v>32.437800000000003</v>
      </c>
      <c r="D330">
        <v>2398.3027000000002</v>
      </c>
      <c r="E330">
        <v>0</v>
      </c>
      <c r="F330">
        <v>1963</v>
      </c>
      <c r="G330" t="str">
        <f t="shared" si="5"/>
        <v>PSME</v>
      </c>
    </row>
    <row r="331" spans="1:7" x14ac:dyDescent="0.4">
      <c r="A331" t="s">
        <v>89</v>
      </c>
      <c r="B331">
        <v>-110.7542</v>
      </c>
      <c r="C331">
        <v>32.437800000000003</v>
      </c>
      <c r="D331">
        <v>2398.3027000000002</v>
      </c>
      <c r="E331">
        <v>0</v>
      </c>
      <c r="F331">
        <v>1963</v>
      </c>
      <c r="G331" t="str">
        <f t="shared" si="5"/>
        <v>PSME</v>
      </c>
    </row>
    <row r="332" spans="1:7" x14ac:dyDescent="0.4">
      <c r="A332" t="s">
        <v>89</v>
      </c>
      <c r="B332">
        <v>-119.4324</v>
      </c>
      <c r="C332">
        <v>37.261499999999899</v>
      </c>
      <c r="D332">
        <v>1792.5378000000001</v>
      </c>
      <c r="E332">
        <v>0.06</v>
      </c>
      <c r="F332">
        <v>1895</v>
      </c>
      <c r="G332" t="str">
        <f t="shared" si="5"/>
        <v>PSME</v>
      </c>
    </row>
    <row r="333" spans="1:7" x14ac:dyDescent="0.4">
      <c r="A333" t="s">
        <v>89</v>
      </c>
      <c r="B333">
        <v>7.0965499999999997</v>
      </c>
      <c r="C333">
        <v>43.006549999999997</v>
      </c>
      <c r="D333" t="s">
        <v>112</v>
      </c>
      <c r="E333">
        <v>1.286</v>
      </c>
      <c r="F333">
        <v>1981</v>
      </c>
      <c r="G333" t="str">
        <f t="shared" si="5"/>
        <v>PSME</v>
      </c>
    </row>
    <row r="334" spans="1:7" x14ac:dyDescent="0.4">
      <c r="A334" t="s">
        <v>89</v>
      </c>
      <c r="B334">
        <v>-121.3335</v>
      </c>
      <c r="C334">
        <v>38.500700000000002</v>
      </c>
      <c r="D334">
        <v>17.796066</v>
      </c>
      <c r="E334">
        <v>3.3660000000000001</v>
      </c>
      <c r="F334">
        <v>1930</v>
      </c>
      <c r="G334" t="str">
        <f t="shared" si="5"/>
        <v>PSME</v>
      </c>
    </row>
    <row r="335" spans="1:7" x14ac:dyDescent="0.4">
      <c r="A335" t="s">
        <v>90</v>
      </c>
      <c r="B335">
        <v>-119.4324</v>
      </c>
      <c r="C335">
        <v>37.261499999999899</v>
      </c>
      <c r="D335">
        <v>1792.5378000000001</v>
      </c>
      <c r="E335">
        <v>-2.5329999999999999</v>
      </c>
      <c r="F335">
        <v>1895</v>
      </c>
      <c r="G335" t="str">
        <f t="shared" si="5"/>
        <v>QUAG</v>
      </c>
    </row>
    <row r="336" spans="1:7" x14ac:dyDescent="0.4">
      <c r="A336" t="s">
        <v>90</v>
      </c>
      <c r="B336">
        <v>-119.4324</v>
      </c>
      <c r="C336">
        <v>37.261499999999899</v>
      </c>
      <c r="D336">
        <v>1792.5378000000001</v>
      </c>
      <c r="E336">
        <v>-0.95199999999999996</v>
      </c>
      <c r="F336">
        <v>1895</v>
      </c>
      <c r="G336" t="str">
        <f t="shared" si="5"/>
        <v>QUAG</v>
      </c>
    </row>
    <row r="337" spans="1:7" x14ac:dyDescent="0.4">
      <c r="A337" t="s">
        <v>90</v>
      </c>
      <c r="B337">
        <v>-119.4324</v>
      </c>
      <c r="C337">
        <v>37.261499999999899</v>
      </c>
      <c r="D337">
        <v>1792.5378000000001</v>
      </c>
      <c r="E337">
        <v>-0.65500000000000003</v>
      </c>
      <c r="F337">
        <v>1895</v>
      </c>
      <c r="G337" t="str">
        <f t="shared" si="5"/>
        <v>QUAG</v>
      </c>
    </row>
    <row r="338" spans="1:7" x14ac:dyDescent="0.4">
      <c r="A338" t="s">
        <v>91</v>
      </c>
      <c r="B338">
        <v>-119.4324</v>
      </c>
      <c r="C338">
        <v>37.261499999999899</v>
      </c>
      <c r="D338">
        <v>1792.5378000000001</v>
      </c>
      <c r="E338">
        <v>-0.36699999999999999</v>
      </c>
      <c r="F338">
        <v>1895</v>
      </c>
      <c r="G338" t="str">
        <f t="shared" si="5"/>
        <v>QUBE</v>
      </c>
    </row>
    <row r="339" spans="1:7" x14ac:dyDescent="0.4">
      <c r="A339" t="s">
        <v>91</v>
      </c>
      <c r="B339">
        <v>-121.3335</v>
      </c>
      <c r="C339">
        <v>38.500700000000002</v>
      </c>
      <c r="D339">
        <v>17.796066</v>
      </c>
      <c r="E339">
        <v>9.4039999999999999</v>
      </c>
      <c r="F339">
        <v>1930</v>
      </c>
      <c r="G339" t="str">
        <f t="shared" si="5"/>
        <v>QUBE</v>
      </c>
    </row>
    <row r="340" spans="1:7" x14ac:dyDescent="0.4">
      <c r="A340" t="s">
        <v>92</v>
      </c>
      <c r="B340">
        <v>7.0965499999999997</v>
      </c>
      <c r="C340">
        <v>43.006549999999997</v>
      </c>
      <c r="D340" t="s">
        <v>112</v>
      </c>
      <c r="E340">
        <v>-4.1429999999999998</v>
      </c>
      <c r="F340">
        <v>1981</v>
      </c>
      <c r="G340" t="str">
        <f t="shared" si="5"/>
        <v>QUCO</v>
      </c>
    </row>
    <row r="341" spans="1:7" x14ac:dyDescent="0.4">
      <c r="A341" t="s">
        <v>92</v>
      </c>
      <c r="B341">
        <v>-116.7925</v>
      </c>
      <c r="C341">
        <v>33.768999999999899</v>
      </c>
      <c r="D341">
        <v>1513.3244999999999</v>
      </c>
      <c r="E341">
        <v>1.2130000000000001</v>
      </c>
      <c r="F341">
        <v>1977</v>
      </c>
      <c r="G341" t="str">
        <f t="shared" si="5"/>
        <v>QUCO</v>
      </c>
    </row>
    <row r="342" spans="1:7" x14ac:dyDescent="0.4">
      <c r="A342" t="s">
        <v>92</v>
      </c>
      <c r="B342">
        <v>-119.4324</v>
      </c>
      <c r="C342">
        <v>37.261499999999899</v>
      </c>
      <c r="D342">
        <v>1792.5378000000001</v>
      </c>
      <c r="E342">
        <v>1.756</v>
      </c>
      <c r="F342">
        <v>1895</v>
      </c>
      <c r="G342" t="str">
        <f t="shared" si="5"/>
        <v>QUCO</v>
      </c>
    </row>
    <row r="343" spans="1:7" x14ac:dyDescent="0.4">
      <c r="A343" t="s">
        <v>123</v>
      </c>
      <c r="B343">
        <v>-110.7542</v>
      </c>
      <c r="C343">
        <v>32.437800000000003</v>
      </c>
      <c r="D343">
        <v>2398.3027000000002</v>
      </c>
      <c r="E343">
        <v>0</v>
      </c>
      <c r="F343">
        <v>1963</v>
      </c>
      <c r="G343" t="str">
        <f t="shared" si="5"/>
        <v>QUGI</v>
      </c>
    </row>
    <row r="344" spans="1:7" x14ac:dyDescent="0.4">
      <c r="A344" t="s">
        <v>123</v>
      </c>
      <c r="B344">
        <v>-110.7542</v>
      </c>
      <c r="C344">
        <v>32.437800000000003</v>
      </c>
      <c r="D344">
        <v>2398.3027000000002</v>
      </c>
      <c r="E344">
        <v>5.1509999999999998</v>
      </c>
      <c r="F344">
        <v>1963</v>
      </c>
      <c r="G344" t="str">
        <f t="shared" si="5"/>
        <v>QUGI</v>
      </c>
    </row>
    <row r="345" spans="1:7" x14ac:dyDescent="0.4">
      <c r="A345" t="s">
        <v>93</v>
      </c>
      <c r="B345">
        <v>-119.4324</v>
      </c>
      <c r="C345">
        <v>37.261499999999899</v>
      </c>
      <c r="D345">
        <v>1792.5378000000001</v>
      </c>
      <c r="E345">
        <v>-2.754</v>
      </c>
      <c r="F345">
        <v>1895</v>
      </c>
      <c r="G345" t="str">
        <f t="shared" si="5"/>
        <v>QUGA</v>
      </c>
    </row>
    <row r="346" spans="1:7" x14ac:dyDescent="0.4">
      <c r="A346" t="s">
        <v>93</v>
      </c>
      <c r="B346">
        <v>-121.3335</v>
      </c>
      <c r="C346">
        <v>38.500700000000002</v>
      </c>
      <c r="D346">
        <v>17.796066</v>
      </c>
      <c r="E346">
        <v>-0.437</v>
      </c>
      <c r="F346">
        <v>1930</v>
      </c>
      <c r="G346" t="str">
        <f t="shared" si="5"/>
        <v>QUGA</v>
      </c>
    </row>
    <row r="347" spans="1:7" x14ac:dyDescent="0.4">
      <c r="A347" t="s">
        <v>93</v>
      </c>
      <c r="B347">
        <v>-119.4324</v>
      </c>
      <c r="C347">
        <v>37.261499999999899</v>
      </c>
      <c r="D347">
        <v>1792.5378000000001</v>
      </c>
      <c r="E347">
        <v>1.3480000000000001</v>
      </c>
      <c r="F347">
        <v>1895</v>
      </c>
      <c r="G347" t="str">
        <f t="shared" si="5"/>
        <v>QUGA</v>
      </c>
    </row>
    <row r="348" spans="1:7" x14ac:dyDescent="0.4">
      <c r="A348" t="s">
        <v>93</v>
      </c>
      <c r="B348">
        <v>-119.4324</v>
      </c>
      <c r="C348">
        <v>37.261499999999899</v>
      </c>
      <c r="D348">
        <v>1792.5378000000001</v>
      </c>
      <c r="E348">
        <v>1.7210000000000001</v>
      </c>
      <c r="F348">
        <v>1895</v>
      </c>
      <c r="G348" t="str">
        <f t="shared" si="5"/>
        <v>QUGA</v>
      </c>
    </row>
    <row r="349" spans="1:7" x14ac:dyDescent="0.4">
      <c r="A349" t="s">
        <v>93</v>
      </c>
      <c r="B349">
        <v>-119.4324</v>
      </c>
      <c r="C349">
        <v>37.261499999999899</v>
      </c>
      <c r="D349">
        <v>1792.5378000000001</v>
      </c>
      <c r="E349">
        <v>3.3809999999999998</v>
      </c>
      <c r="F349">
        <v>1895</v>
      </c>
      <c r="G349" t="str">
        <f t="shared" si="5"/>
        <v>QUGA</v>
      </c>
    </row>
    <row r="350" spans="1:7" x14ac:dyDescent="0.4">
      <c r="A350" t="s">
        <v>94</v>
      </c>
      <c r="B350">
        <v>-0.96830000000000005</v>
      </c>
      <c r="C350">
        <v>42.850900000000003</v>
      </c>
      <c r="D350">
        <v>1479.7910999999999</v>
      </c>
      <c r="E350">
        <v>0</v>
      </c>
      <c r="F350">
        <v>1971</v>
      </c>
      <c r="G350" t="str">
        <f t="shared" si="5"/>
        <v>QUIL</v>
      </c>
    </row>
    <row r="351" spans="1:7" x14ac:dyDescent="0.4">
      <c r="A351" t="s">
        <v>94</v>
      </c>
      <c r="B351">
        <v>-0.96830000000000005</v>
      </c>
      <c r="C351">
        <v>42.850900000000003</v>
      </c>
      <c r="D351">
        <v>1479.7910999999999</v>
      </c>
      <c r="E351">
        <v>0</v>
      </c>
      <c r="F351">
        <v>1971</v>
      </c>
      <c r="G351" t="str">
        <f t="shared" si="5"/>
        <v>QUIL</v>
      </c>
    </row>
    <row r="352" spans="1:7" x14ac:dyDescent="0.4">
      <c r="A352" t="s">
        <v>94</v>
      </c>
      <c r="B352">
        <v>-0.96830000000000005</v>
      </c>
      <c r="C352">
        <v>42.850900000000003</v>
      </c>
      <c r="D352">
        <v>1479.7910999999999</v>
      </c>
      <c r="E352">
        <v>0</v>
      </c>
      <c r="F352">
        <v>1971</v>
      </c>
      <c r="G352" t="str">
        <f t="shared" si="5"/>
        <v>QUIL</v>
      </c>
    </row>
    <row r="353" spans="1:7" x14ac:dyDescent="0.4">
      <c r="A353" t="s">
        <v>94</v>
      </c>
      <c r="B353">
        <v>10.8605</v>
      </c>
      <c r="C353">
        <v>45.7196</v>
      </c>
      <c r="D353">
        <v>1367.8629000000001</v>
      </c>
      <c r="E353">
        <v>1.3560000000000001</v>
      </c>
      <c r="F353">
        <v>1989</v>
      </c>
      <c r="G353" t="str">
        <f t="shared" si="5"/>
        <v>QUIL</v>
      </c>
    </row>
    <row r="354" spans="1:7" x14ac:dyDescent="0.4">
      <c r="A354" t="s">
        <v>94</v>
      </c>
      <c r="B354">
        <v>0.92149999999999999</v>
      </c>
      <c r="C354">
        <v>42.328499999999899</v>
      </c>
      <c r="D354">
        <v>953.21105999999997</v>
      </c>
      <c r="E354">
        <v>2</v>
      </c>
      <c r="F354">
        <v>1986</v>
      </c>
      <c r="G354" t="str">
        <f t="shared" si="5"/>
        <v>QUIL</v>
      </c>
    </row>
    <row r="355" spans="1:7" x14ac:dyDescent="0.4">
      <c r="A355" t="s">
        <v>94</v>
      </c>
      <c r="B355">
        <v>7.0965499999999997</v>
      </c>
      <c r="C355">
        <v>43.006549999999997</v>
      </c>
      <c r="D355" t="s">
        <v>112</v>
      </c>
      <c r="E355">
        <v>2.1429999999999998</v>
      </c>
      <c r="F355">
        <v>1981</v>
      </c>
      <c r="G355" t="str">
        <f t="shared" si="5"/>
        <v>QUIL</v>
      </c>
    </row>
    <row r="356" spans="1:7" x14ac:dyDescent="0.4">
      <c r="A356" t="s">
        <v>94</v>
      </c>
      <c r="B356">
        <v>-1.7858000000000001</v>
      </c>
      <c r="C356">
        <v>40.956000000000003</v>
      </c>
      <c r="D356">
        <v>1084.1304</v>
      </c>
      <c r="E356">
        <v>2.1819999999999999</v>
      </c>
      <c r="F356">
        <v>1986</v>
      </c>
      <c r="G356" t="str">
        <f t="shared" si="5"/>
        <v>QUIL</v>
      </c>
    </row>
    <row r="357" spans="1:7" x14ac:dyDescent="0.4">
      <c r="A357" t="s">
        <v>95</v>
      </c>
      <c r="B357">
        <v>7.0965499999999997</v>
      </c>
      <c r="C357">
        <v>43.006549999999997</v>
      </c>
      <c r="D357" t="s">
        <v>112</v>
      </c>
      <c r="E357">
        <v>-5.7140000000000004</v>
      </c>
      <c r="F357">
        <v>1981</v>
      </c>
      <c r="G357" t="str">
        <f t="shared" si="5"/>
        <v>QUPE</v>
      </c>
    </row>
    <row r="358" spans="1:7" x14ac:dyDescent="0.4">
      <c r="A358" t="s">
        <v>95</v>
      </c>
      <c r="B358">
        <v>5.3539166666666702</v>
      </c>
      <c r="C358">
        <v>45.007733333333299</v>
      </c>
      <c r="D358">
        <v>761.62267999999995</v>
      </c>
      <c r="E358">
        <v>-1.204</v>
      </c>
      <c r="F358">
        <v>1905</v>
      </c>
      <c r="G358" t="str">
        <f t="shared" si="5"/>
        <v>QUPE</v>
      </c>
    </row>
    <row r="359" spans="1:7" x14ac:dyDescent="0.4">
      <c r="A359" t="s">
        <v>95</v>
      </c>
      <c r="B359">
        <v>2.0886</v>
      </c>
      <c r="C359">
        <v>46.670499999999898</v>
      </c>
      <c r="D359">
        <v>264.83069</v>
      </c>
      <c r="E359">
        <v>-0.55900000000000005</v>
      </c>
      <c r="F359">
        <v>1914</v>
      </c>
      <c r="G359" t="str">
        <f t="shared" si="5"/>
        <v>QUPE</v>
      </c>
    </row>
    <row r="360" spans="1:7" x14ac:dyDescent="0.4">
      <c r="A360" t="s">
        <v>95</v>
      </c>
      <c r="B360">
        <v>2.0886</v>
      </c>
      <c r="C360">
        <v>46.670499999999898</v>
      </c>
      <c r="D360">
        <v>264.83069</v>
      </c>
      <c r="E360">
        <v>-0.31</v>
      </c>
      <c r="F360">
        <v>1914</v>
      </c>
      <c r="G360" t="str">
        <f t="shared" si="5"/>
        <v>QUPE</v>
      </c>
    </row>
    <row r="361" spans="1:7" x14ac:dyDescent="0.4">
      <c r="A361" t="s">
        <v>95</v>
      </c>
      <c r="B361">
        <v>2.0886</v>
      </c>
      <c r="C361">
        <v>46.670499999999898</v>
      </c>
      <c r="D361">
        <v>264.83069</v>
      </c>
      <c r="E361">
        <v>-0.155</v>
      </c>
      <c r="F361">
        <v>1914</v>
      </c>
      <c r="G361" t="str">
        <f t="shared" si="5"/>
        <v>QUPE</v>
      </c>
    </row>
    <row r="362" spans="1:7" x14ac:dyDescent="0.4">
      <c r="A362" t="s">
        <v>95</v>
      </c>
      <c r="B362">
        <v>19.6858</v>
      </c>
      <c r="C362">
        <v>48.844700000000003</v>
      </c>
      <c r="D362">
        <v>701.47131000000002</v>
      </c>
      <c r="E362">
        <v>0</v>
      </c>
      <c r="F362">
        <v>1966</v>
      </c>
      <c r="G362" t="str">
        <f t="shared" si="5"/>
        <v>QUPE</v>
      </c>
    </row>
    <row r="363" spans="1:7" x14ac:dyDescent="0.4">
      <c r="A363" t="s">
        <v>95</v>
      </c>
      <c r="B363">
        <v>19.6858</v>
      </c>
      <c r="C363">
        <v>48.844700000000003</v>
      </c>
      <c r="D363">
        <v>701.47131000000002</v>
      </c>
      <c r="E363">
        <v>0.14799999999999999</v>
      </c>
      <c r="F363">
        <v>1966</v>
      </c>
      <c r="G363" t="str">
        <f t="shared" si="5"/>
        <v>QUPE</v>
      </c>
    </row>
    <row r="364" spans="1:7" x14ac:dyDescent="0.4">
      <c r="A364" t="s">
        <v>95</v>
      </c>
      <c r="B364">
        <v>19.6858</v>
      </c>
      <c r="C364">
        <v>48.844700000000003</v>
      </c>
      <c r="D364">
        <v>701.47131000000002</v>
      </c>
      <c r="E364">
        <v>0.52200000000000002</v>
      </c>
      <c r="F364">
        <v>1966</v>
      </c>
      <c r="G364" t="str">
        <f t="shared" si="5"/>
        <v>QUPE</v>
      </c>
    </row>
    <row r="365" spans="1:7" x14ac:dyDescent="0.4">
      <c r="A365" t="s">
        <v>95</v>
      </c>
      <c r="B365">
        <v>0.92149999999999999</v>
      </c>
      <c r="C365">
        <v>42.328499999999899</v>
      </c>
      <c r="D365">
        <v>953.21105999999997</v>
      </c>
      <c r="E365">
        <v>3.2730000000000001</v>
      </c>
      <c r="F365">
        <v>1986</v>
      </c>
      <c r="G365" t="str">
        <f t="shared" si="5"/>
        <v>QUPE</v>
      </c>
    </row>
    <row r="366" spans="1:7" x14ac:dyDescent="0.4">
      <c r="A366" t="s">
        <v>95</v>
      </c>
      <c r="B366">
        <v>10.8605</v>
      </c>
      <c r="C366">
        <v>45.7196</v>
      </c>
      <c r="D366">
        <v>1367.8629000000001</v>
      </c>
      <c r="E366">
        <v>14.013</v>
      </c>
      <c r="F366">
        <v>1989</v>
      </c>
      <c r="G366" t="str">
        <f t="shared" si="5"/>
        <v>QUPE</v>
      </c>
    </row>
    <row r="367" spans="1:7" x14ac:dyDescent="0.4">
      <c r="A367" t="s">
        <v>95</v>
      </c>
      <c r="B367">
        <v>-1.7858000000000001</v>
      </c>
      <c r="C367">
        <v>40.956000000000003</v>
      </c>
      <c r="D367">
        <v>1084.1304</v>
      </c>
      <c r="E367">
        <v>16.454999999999998</v>
      </c>
      <c r="F367">
        <v>1986</v>
      </c>
      <c r="G367" t="str">
        <f t="shared" si="5"/>
        <v>QUPE</v>
      </c>
    </row>
    <row r="368" spans="1:7" x14ac:dyDescent="0.4">
      <c r="A368" t="s">
        <v>96</v>
      </c>
      <c r="B368">
        <v>5.3539166666666702</v>
      </c>
      <c r="C368">
        <v>45.007733333333299</v>
      </c>
      <c r="D368">
        <v>761.62267999999995</v>
      </c>
      <c r="E368">
        <v>-6.7380000000000004</v>
      </c>
      <c r="F368">
        <v>1905</v>
      </c>
      <c r="G368" t="str">
        <f t="shared" si="5"/>
        <v>QUPU</v>
      </c>
    </row>
    <row r="369" spans="1:7" x14ac:dyDescent="0.4">
      <c r="A369" t="s">
        <v>96</v>
      </c>
      <c r="B369">
        <v>10.8605</v>
      </c>
      <c r="C369">
        <v>45.7196</v>
      </c>
      <c r="D369">
        <v>1367.8629000000001</v>
      </c>
      <c r="E369">
        <v>0.71299999999999997</v>
      </c>
      <c r="F369">
        <v>1989</v>
      </c>
      <c r="G369" t="str">
        <f t="shared" si="5"/>
        <v>QUPU</v>
      </c>
    </row>
    <row r="370" spans="1:7" x14ac:dyDescent="0.4">
      <c r="A370" t="s">
        <v>96</v>
      </c>
      <c r="B370">
        <v>-0.96830000000000005</v>
      </c>
      <c r="C370">
        <v>42.850900000000003</v>
      </c>
      <c r="D370">
        <v>1479.7910999999999</v>
      </c>
      <c r="E370">
        <v>1</v>
      </c>
      <c r="F370">
        <v>1971</v>
      </c>
      <c r="G370" t="str">
        <f t="shared" si="5"/>
        <v>QUPU</v>
      </c>
    </row>
    <row r="371" spans="1:7" x14ac:dyDescent="0.4">
      <c r="A371" t="s">
        <v>96</v>
      </c>
      <c r="B371">
        <v>-0.96830000000000005</v>
      </c>
      <c r="C371">
        <v>42.850900000000003</v>
      </c>
      <c r="D371">
        <v>1479.7910999999999</v>
      </c>
      <c r="E371">
        <v>3</v>
      </c>
      <c r="F371">
        <v>1971</v>
      </c>
      <c r="G371" t="str">
        <f t="shared" si="5"/>
        <v>QUPU</v>
      </c>
    </row>
    <row r="372" spans="1:7" x14ac:dyDescent="0.4">
      <c r="A372" t="s">
        <v>96</v>
      </c>
      <c r="B372">
        <v>7.0965499999999997</v>
      </c>
      <c r="C372">
        <v>43.006549999999997</v>
      </c>
      <c r="D372" t="s">
        <v>112</v>
      </c>
      <c r="E372">
        <v>5.8570000000000002</v>
      </c>
      <c r="F372">
        <v>1981</v>
      </c>
      <c r="G372" t="str">
        <f t="shared" si="5"/>
        <v>QUPU</v>
      </c>
    </row>
    <row r="373" spans="1:7" x14ac:dyDescent="0.4">
      <c r="A373" t="s">
        <v>97</v>
      </c>
      <c r="B373">
        <v>5.3539166666666702</v>
      </c>
      <c r="C373">
        <v>45.007733333333299</v>
      </c>
      <c r="D373">
        <v>761.62267999999995</v>
      </c>
      <c r="E373">
        <v>-1.476</v>
      </c>
      <c r="F373">
        <v>1905</v>
      </c>
      <c r="G373" t="str">
        <f t="shared" si="5"/>
        <v>QURO</v>
      </c>
    </row>
    <row r="374" spans="1:7" x14ac:dyDescent="0.4">
      <c r="A374" t="s">
        <v>97</v>
      </c>
      <c r="B374">
        <v>13.4633</v>
      </c>
      <c r="C374">
        <v>48.921500000000002</v>
      </c>
      <c r="D374">
        <v>869.87121999999999</v>
      </c>
      <c r="E374">
        <v>-0.42099999999999999</v>
      </c>
      <c r="F374">
        <v>1902</v>
      </c>
      <c r="G374" t="str">
        <f t="shared" si="5"/>
        <v>QURO</v>
      </c>
    </row>
    <row r="375" spans="1:7" x14ac:dyDescent="0.4">
      <c r="A375" t="s">
        <v>98</v>
      </c>
      <c r="B375">
        <v>-1.7858000000000001</v>
      </c>
      <c r="C375">
        <v>40.956000000000003</v>
      </c>
      <c r="D375">
        <v>1084.1304</v>
      </c>
      <c r="E375">
        <v>-2.7269999999999999</v>
      </c>
      <c r="F375">
        <v>1986</v>
      </c>
      <c r="G375" t="str">
        <f t="shared" si="5"/>
        <v>QUSU</v>
      </c>
    </row>
    <row r="376" spans="1:7" x14ac:dyDescent="0.4">
      <c r="A376" t="s">
        <v>98</v>
      </c>
      <c r="B376">
        <v>0.92149999999999999</v>
      </c>
      <c r="C376">
        <v>42.328499999999899</v>
      </c>
      <c r="D376">
        <v>953.21105999999997</v>
      </c>
      <c r="E376">
        <v>-0.27300000000000002</v>
      </c>
      <c r="F376">
        <v>1986</v>
      </c>
      <c r="G376" t="str">
        <f t="shared" si="5"/>
        <v>QUSU</v>
      </c>
    </row>
    <row r="377" spans="1:7" x14ac:dyDescent="0.4">
      <c r="A377" t="s">
        <v>99</v>
      </c>
      <c r="B377">
        <v>-119.4324</v>
      </c>
      <c r="C377">
        <v>37.261499999999899</v>
      </c>
      <c r="D377">
        <v>1792.5378000000001</v>
      </c>
      <c r="E377">
        <v>1.1819999999999999</v>
      </c>
      <c r="F377">
        <v>1895</v>
      </c>
      <c r="G377" t="str">
        <f t="shared" si="5"/>
        <v>QUTU</v>
      </c>
    </row>
    <row r="378" spans="1:7" x14ac:dyDescent="0.4">
      <c r="A378" t="s">
        <v>100</v>
      </c>
      <c r="B378">
        <v>-119.4324</v>
      </c>
      <c r="C378">
        <v>37.261499999999899</v>
      </c>
      <c r="D378">
        <v>1792.5378000000001</v>
      </c>
      <c r="E378">
        <v>-8.3480000000000008</v>
      </c>
      <c r="F378">
        <v>1895</v>
      </c>
      <c r="G378" t="str">
        <f t="shared" si="5"/>
        <v>QUWI</v>
      </c>
    </row>
    <row r="379" spans="1:7" x14ac:dyDescent="0.4">
      <c r="A379" t="s">
        <v>100</v>
      </c>
      <c r="B379">
        <v>-119.4324</v>
      </c>
      <c r="C379">
        <v>37.261499999999899</v>
      </c>
      <c r="D379">
        <v>1792.5378000000001</v>
      </c>
      <c r="E379">
        <v>1.8859999999999999</v>
      </c>
      <c r="F379">
        <v>1895</v>
      </c>
      <c r="G379" t="str">
        <f t="shared" si="5"/>
        <v>QUWI</v>
      </c>
    </row>
    <row r="380" spans="1:7" x14ac:dyDescent="0.4">
      <c r="A380" t="s">
        <v>100</v>
      </c>
      <c r="B380">
        <v>-119.4324</v>
      </c>
      <c r="C380">
        <v>37.261499999999899</v>
      </c>
      <c r="D380">
        <v>1792.5378000000001</v>
      </c>
      <c r="E380">
        <v>2.786</v>
      </c>
      <c r="F380">
        <v>1895</v>
      </c>
      <c r="G380" t="str">
        <f t="shared" si="5"/>
        <v>QUWI</v>
      </c>
    </row>
    <row r="381" spans="1:7" x14ac:dyDescent="0.4">
      <c r="A381" t="s">
        <v>101</v>
      </c>
      <c r="B381">
        <v>-119.4324</v>
      </c>
      <c r="C381">
        <v>37.261499999999899</v>
      </c>
      <c r="D381">
        <v>1792.5378000000001</v>
      </c>
      <c r="E381">
        <v>0.88200000000000001</v>
      </c>
      <c r="F381">
        <v>1895</v>
      </c>
      <c r="G381" t="str">
        <f t="shared" si="5"/>
        <v>RULE</v>
      </c>
    </row>
    <row r="382" spans="1:7" x14ac:dyDescent="0.4">
      <c r="A382" t="s">
        <v>102</v>
      </c>
      <c r="B382">
        <v>-119.4324</v>
      </c>
      <c r="C382">
        <v>37.261499999999899</v>
      </c>
      <c r="D382">
        <v>1792.5378000000001</v>
      </c>
      <c r="E382">
        <v>1.962</v>
      </c>
      <c r="F382">
        <v>1895</v>
      </c>
      <c r="G382" t="str">
        <f t="shared" si="5"/>
        <v>RUPA</v>
      </c>
    </row>
    <row r="383" spans="1:7" x14ac:dyDescent="0.4">
      <c r="A383" t="s">
        <v>102</v>
      </c>
      <c r="B383">
        <v>-119.4324</v>
      </c>
      <c r="C383">
        <v>37.261499999999899</v>
      </c>
      <c r="D383">
        <v>1792.5378000000001</v>
      </c>
      <c r="E383">
        <v>-2.73</v>
      </c>
      <c r="F383">
        <v>1895</v>
      </c>
      <c r="G383" t="str">
        <f t="shared" ref="G383:G418" si="6">RIGHT(LEFT(A383,5),4)</f>
        <v>RUPA</v>
      </c>
    </row>
    <row r="384" spans="1:7" x14ac:dyDescent="0.4">
      <c r="A384" t="s">
        <v>103</v>
      </c>
      <c r="B384">
        <v>-119.4324</v>
      </c>
      <c r="C384">
        <v>37.261499999999899</v>
      </c>
      <c r="D384">
        <v>1792.5378000000001</v>
      </c>
      <c r="E384">
        <v>-4.3840000000000003</v>
      </c>
      <c r="F384">
        <v>1895</v>
      </c>
      <c r="G384" t="str">
        <f t="shared" si="6"/>
        <v>SAVI</v>
      </c>
    </row>
    <row r="385" spans="1:7" x14ac:dyDescent="0.4">
      <c r="A385" t="s">
        <v>103</v>
      </c>
      <c r="B385">
        <v>10.8605</v>
      </c>
      <c r="C385">
        <v>45.7196</v>
      </c>
      <c r="D385">
        <v>1367.8629000000001</v>
      </c>
      <c r="E385">
        <v>16.119</v>
      </c>
      <c r="F385">
        <v>1989</v>
      </c>
      <c r="G385" t="str">
        <f t="shared" si="6"/>
        <v>SAVI</v>
      </c>
    </row>
    <row r="386" spans="1:7" x14ac:dyDescent="0.4">
      <c r="A386" t="s">
        <v>104</v>
      </c>
      <c r="B386">
        <v>-119.4324</v>
      </c>
      <c r="C386">
        <v>37.261499999999899</v>
      </c>
      <c r="D386">
        <v>1792.5378000000001</v>
      </c>
      <c r="E386">
        <v>0.66200000000000003</v>
      </c>
      <c r="F386">
        <v>1895</v>
      </c>
      <c r="G386" t="str">
        <f t="shared" si="6"/>
        <v>SCMO</v>
      </c>
    </row>
    <row r="387" spans="1:7" x14ac:dyDescent="0.4">
      <c r="A387" t="s">
        <v>104</v>
      </c>
      <c r="B387">
        <v>11.3355999999999</v>
      </c>
      <c r="C387">
        <v>46.9102999999999</v>
      </c>
      <c r="D387">
        <v>1793.2164</v>
      </c>
      <c r="E387">
        <v>4.2999999999999997E-2</v>
      </c>
      <c r="F387">
        <v>1970</v>
      </c>
      <c r="G387" t="str">
        <f t="shared" si="6"/>
        <v>SCMO</v>
      </c>
    </row>
    <row r="388" spans="1:7" x14ac:dyDescent="0.4">
      <c r="A388" t="s">
        <v>104</v>
      </c>
      <c r="B388">
        <v>9.9322999999999997</v>
      </c>
      <c r="C388">
        <v>46.615900000000003</v>
      </c>
      <c r="D388">
        <v>2531.1504</v>
      </c>
      <c r="E388">
        <v>1.1100000000000001</v>
      </c>
      <c r="F388">
        <v>1835</v>
      </c>
      <c r="G388" t="str">
        <f t="shared" si="6"/>
        <v>SCMO</v>
      </c>
    </row>
    <row r="389" spans="1:7" x14ac:dyDescent="0.4">
      <c r="A389" t="s">
        <v>104</v>
      </c>
      <c r="B389">
        <v>11.3355999999999</v>
      </c>
      <c r="C389">
        <v>46.9102999999999</v>
      </c>
      <c r="D389">
        <v>1793.2164</v>
      </c>
      <c r="E389">
        <v>2.085</v>
      </c>
      <c r="F389">
        <v>1970</v>
      </c>
      <c r="G389" t="str">
        <f t="shared" si="6"/>
        <v>SCMO</v>
      </c>
    </row>
    <row r="390" spans="1:7" x14ac:dyDescent="0.4">
      <c r="A390" t="s">
        <v>104</v>
      </c>
      <c r="B390">
        <v>11.3355999999999</v>
      </c>
      <c r="C390">
        <v>46.9102999999999</v>
      </c>
      <c r="D390">
        <v>1793.2164</v>
      </c>
      <c r="E390">
        <v>2.7869999999999999</v>
      </c>
      <c r="F390">
        <v>1970</v>
      </c>
      <c r="G390" t="str">
        <f t="shared" si="6"/>
        <v>SCMO</v>
      </c>
    </row>
    <row r="391" spans="1:7" x14ac:dyDescent="0.4">
      <c r="A391" t="s">
        <v>106</v>
      </c>
      <c r="B391">
        <v>10.8605</v>
      </c>
      <c r="C391">
        <v>45.7196</v>
      </c>
      <c r="D391">
        <v>1367.8629000000001</v>
      </c>
      <c r="E391">
        <v>0.86199999999999999</v>
      </c>
      <c r="F391">
        <v>1989</v>
      </c>
      <c r="G391" t="str">
        <f t="shared" si="6"/>
        <v>SESE</v>
      </c>
    </row>
    <row r="392" spans="1:7" x14ac:dyDescent="0.4">
      <c r="A392" t="s">
        <v>106</v>
      </c>
      <c r="B392">
        <v>7.9573</v>
      </c>
      <c r="C392">
        <v>60.697299999999899</v>
      </c>
      <c r="D392">
        <v>1156.1946</v>
      </c>
      <c r="E392">
        <v>-2.3330000000000002</v>
      </c>
      <c r="F392">
        <v>2001</v>
      </c>
      <c r="G392" t="str">
        <f t="shared" si="6"/>
        <v>SESE</v>
      </c>
    </row>
    <row r="393" spans="1:7" x14ac:dyDescent="0.4">
      <c r="A393" t="s">
        <v>106</v>
      </c>
      <c r="B393">
        <v>11.3355999999999</v>
      </c>
      <c r="C393">
        <v>46.9102999999999</v>
      </c>
      <c r="D393">
        <v>1793.2164</v>
      </c>
      <c r="E393">
        <v>-1.5529999999999999</v>
      </c>
      <c r="F393">
        <v>1970</v>
      </c>
      <c r="G393" t="str">
        <f t="shared" si="6"/>
        <v>SESE</v>
      </c>
    </row>
    <row r="394" spans="1:7" x14ac:dyDescent="0.4">
      <c r="A394" t="s">
        <v>106</v>
      </c>
      <c r="B394">
        <v>11.3355999999999</v>
      </c>
      <c r="C394">
        <v>46.9102999999999</v>
      </c>
      <c r="D394">
        <v>1793.2164</v>
      </c>
      <c r="E394">
        <v>-0.34</v>
      </c>
      <c r="F394">
        <v>1970</v>
      </c>
      <c r="G394" t="str">
        <f t="shared" si="6"/>
        <v>SESE</v>
      </c>
    </row>
    <row r="395" spans="1:7" x14ac:dyDescent="0.4">
      <c r="A395" t="s">
        <v>106</v>
      </c>
      <c r="B395">
        <v>24.6996</v>
      </c>
      <c r="C395">
        <v>69.812799999999896</v>
      </c>
      <c r="D395">
        <v>412.95316000000003</v>
      </c>
      <c r="E395">
        <v>-0.25900000000000001</v>
      </c>
      <c r="F395">
        <v>1982</v>
      </c>
      <c r="G395" t="str">
        <f t="shared" si="6"/>
        <v>SESE</v>
      </c>
    </row>
    <row r="396" spans="1:7" x14ac:dyDescent="0.4">
      <c r="A396" t="s">
        <v>106</v>
      </c>
      <c r="B396">
        <v>24.6996</v>
      </c>
      <c r="C396">
        <v>69.812799999999896</v>
      </c>
      <c r="D396">
        <v>412.95316000000003</v>
      </c>
      <c r="E396">
        <v>1.0740000000000001</v>
      </c>
      <c r="F396">
        <v>1982</v>
      </c>
      <c r="G396" t="str">
        <f t="shared" si="6"/>
        <v>SESE</v>
      </c>
    </row>
    <row r="397" spans="1:7" x14ac:dyDescent="0.4">
      <c r="A397" t="s">
        <v>106</v>
      </c>
      <c r="B397">
        <v>11.3355999999999</v>
      </c>
      <c r="C397">
        <v>46.9102999999999</v>
      </c>
      <c r="D397">
        <v>1793.2164</v>
      </c>
      <c r="E397">
        <v>1.617</v>
      </c>
      <c r="F397">
        <v>1970</v>
      </c>
      <c r="G397" t="str">
        <f t="shared" si="6"/>
        <v>SESE</v>
      </c>
    </row>
    <row r="398" spans="1:7" x14ac:dyDescent="0.4">
      <c r="A398" t="s">
        <v>106</v>
      </c>
      <c r="B398">
        <v>-119.4324</v>
      </c>
      <c r="C398">
        <v>37.261499999999899</v>
      </c>
      <c r="D398">
        <v>1792.5378000000001</v>
      </c>
      <c r="E398">
        <v>-9.2940000000000005</v>
      </c>
      <c r="F398">
        <v>1895</v>
      </c>
      <c r="G398" t="str">
        <f t="shared" si="6"/>
        <v>SESE</v>
      </c>
    </row>
    <row r="399" spans="1:7" x14ac:dyDescent="0.4">
      <c r="A399" t="s">
        <v>106</v>
      </c>
      <c r="B399">
        <v>-119.4324</v>
      </c>
      <c r="C399">
        <v>37.261499999999899</v>
      </c>
      <c r="D399">
        <v>1792.5378000000001</v>
      </c>
      <c r="E399">
        <v>0.76200000000000001</v>
      </c>
      <c r="F399">
        <v>1895</v>
      </c>
      <c r="G399" t="str">
        <f t="shared" si="6"/>
        <v>SESE</v>
      </c>
    </row>
    <row r="400" spans="1:7" x14ac:dyDescent="0.4">
      <c r="A400" t="s">
        <v>105</v>
      </c>
      <c r="B400">
        <v>-119.4324</v>
      </c>
      <c r="C400">
        <v>37.261499999999899</v>
      </c>
      <c r="D400">
        <v>1792.5378000000001</v>
      </c>
      <c r="E400">
        <v>-6.3E-2</v>
      </c>
      <c r="F400">
        <v>1895</v>
      </c>
      <c r="G400" t="str">
        <f t="shared" si="6"/>
        <v>SEGI</v>
      </c>
    </row>
    <row r="401" spans="1:7" x14ac:dyDescent="0.4">
      <c r="A401" t="s">
        <v>107</v>
      </c>
      <c r="B401">
        <v>-119.4324</v>
      </c>
      <c r="C401">
        <v>37.261499999999899</v>
      </c>
      <c r="D401">
        <v>1792.5378000000001</v>
      </c>
      <c r="E401">
        <v>4.2569999999999997</v>
      </c>
      <c r="F401">
        <v>1895</v>
      </c>
      <c r="G401" t="str">
        <f t="shared" si="6"/>
        <v>TARA</v>
      </c>
    </row>
    <row r="402" spans="1:7" x14ac:dyDescent="0.4">
      <c r="A402" t="s">
        <v>108</v>
      </c>
      <c r="B402">
        <v>-71.156700000000001</v>
      </c>
      <c r="C402">
        <v>45.460099999999898</v>
      </c>
      <c r="D402">
        <v>901.67474000000004</v>
      </c>
      <c r="E402">
        <v>0.442</v>
      </c>
      <c r="F402">
        <v>1970</v>
      </c>
      <c r="G402" t="str">
        <f t="shared" si="6"/>
        <v>TICO</v>
      </c>
    </row>
    <row r="403" spans="1:7" x14ac:dyDescent="0.4">
      <c r="A403" t="s">
        <v>108</v>
      </c>
      <c r="B403">
        <v>7.0965499999999997</v>
      </c>
      <c r="C403">
        <v>43.006549999999997</v>
      </c>
      <c r="D403" t="s">
        <v>112</v>
      </c>
      <c r="E403">
        <v>-3.714</v>
      </c>
      <c r="F403">
        <v>1981</v>
      </c>
      <c r="G403" t="str">
        <f t="shared" si="6"/>
        <v>TICO</v>
      </c>
    </row>
    <row r="404" spans="1:7" x14ac:dyDescent="0.4">
      <c r="A404" t="s">
        <v>108</v>
      </c>
      <c r="B404">
        <v>19.6858</v>
      </c>
      <c r="C404">
        <v>48.844700000000003</v>
      </c>
      <c r="D404">
        <v>701.47131000000002</v>
      </c>
      <c r="E404">
        <v>-1.377</v>
      </c>
      <c r="F404">
        <v>1966</v>
      </c>
      <c r="G404" t="str">
        <f t="shared" si="6"/>
        <v>TICO</v>
      </c>
    </row>
    <row r="405" spans="1:7" x14ac:dyDescent="0.4">
      <c r="A405" t="s">
        <v>108</v>
      </c>
      <c r="B405">
        <v>2.0886</v>
      </c>
      <c r="C405">
        <v>46.670499999999898</v>
      </c>
      <c r="D405">
        <v>264.83069</v>
      </c>
      <c r="E405">
        <v>-0.755</v>
      </c>
      <c r="F405">
        <v>1914</v>
      </c>
      <c r="G405" t="str">
        <f t="shared" si="6"/>
        <v>TICO</v>
      </c>
    </row>
    <row r="406" spans="1:7" x14ac:dyDescent="0.4">
      <c r="A406" t="s">
        <v>108</v>
      </c>
      <c r="B406">
        <v>19.6858</v>
      </c>
      <c r="C406">
        <v>48.844700000000003</v>
      </c>
      <c r="D406">
        <v>701.47131000000002</v>
      </c>
      <c r="E406">
        <v>0.14799999999999999</v>
      </c>
      <c r="F406">
        <v>1966</v>
      </c>
      <c r="G406" t="str">
        <f t="shared" si="6"/>
        <v>TICO</v>
      </c>
    </row>
    <row r="407" spans="1:7" x14ac:dyDescent="0.4">
      <c r="A407" t="s">
        <v>108</v>
      </c>
      <c r="B407">
        <v>2.0886</v>
      </c>
      <c r="C407">
        <v>46.670499999999898</v>
      </c>
      <c r="D407">
        <v>264.83069</v>
      </c>
      <c r="E407">
        <v>0.751</v>
      </c>
      <c r="F407">
        <v>1914</v>
      </c>
      <c r="G407" t="str">
        <f t="shared" si="6"/>
        <v>TICO</v>
      </c>
    </row>
    <row r="408" spans="1:7" x14ac:dyDescent="0.4">
      <c r="A408" t="s">
        <v>108</v>
      </c>
      <c r="B408">
        <v>10.8605</v>
      </c>
      <c r="C408">
        <v>45.7196</v>
      </c>
      <c r="D408">
        <v>1367.8629000000001</v>
      </c>
      <c r="E408">
        <v>3.4740000000000002</v>
      </c>
      <c r="F408">
        <v>1989</v>
      </c>
      <c r="G408" t="str">
        <f t="shared" si="6"/>
        <v>TICO</v>
      </c>
    </row>
    <row r="409" spans="1:7" x14ac:dyDescent="0.4">
      <c r="A409" t="s">
        <v>108</v>
      </c>
      <c r="B409">
        <v>19.6858</v>
      </c>
      <c r="C409">
        <v>48.844700000000003</v>
      </c>
      <c r="D409">
        <v>701.47131000000002</v>
      </c>
      <c r="E409">
        <v>3.6230000000000002</v>
      </c>
      <c r="F409">
        <v>1966</v>
      </c>
      <c r="G409" t="str">
        <f t="shared" si="6"/>
        <v>TICO</v>
      </c>
    </row>
    <row r="410" spans="1:7" x14ac:dyDescent="0.4">
      <c r="A410" t="s">
        <v>108</v>
      </c>
      <c r="B410">
        <v>2.0886</v>
      </c>
      <c r="C410">
        <v>46.670499999999898</v>
      </c>
      <c r="D410">
        <v>264.83069</v>
      </c>
      <c r="E410">
        <v>3.734</v>
      </c>
      <c r="F410">
        <v>1914</v>
      </c>
      <c r="G410" t="str">
        <f t="shared" si="6"/>
        <v>TICO</v>
      </c>
    </row>
    <row r="411" spans="1:7" x14ac:dyDescent="0.4">
      <c r="A411" t="s">
        <v>109</v>
      </c>
      <c r="B411">
        <v>2.0886</v>
      </c>
      <c r="C411">
        <v>46.670499999999898</v>
      </c>
      <c r="D411">
        <v>264.83069</v>
      </c>
      <c r="E411">
        <v>0.24099999999999999</v>
      </c>
      <c r="F411">
        <v>1914</v>
      </c>
      <c r="G411" t="str">
        <f t="shared" si="6"/>
        <v>TIPL</v>
      </c>
    </row>
    <row r="412" spans="1:7" x14ac:dyDescent="0.4">
      <c r="A412" t="s">
        <v>109</v>
      </c>
      <c r="B412">
        <v>5.3539166666666702</v>
      </c>
      <c r="C412">
        <v>45.007733333333299</v>
      </c>
      <c r="D412">
        <v>761.62267999999995</v>
      </c>
      <c r="E412">
        <v>0.93200000000000005</v>
      </c>
      <c r="F412">
        <v>1905</v>
      </c>
      <c r="G412" t="str">
        <f t="shared" si="6"/>
        <v>TIPL</v>
      </c>
    </row>
    <row r="413" spans="1:7" x14ac:dyDescent="0.4">
      <c r="A413" t="s">
        <v>109</v>
      </c>
      <c r="B413">
        <v>2.0886</v>
      </c>
      <c r="C413">
        <v>46.670499999999898</v>
      </c>
      <c r="D413">
        <v>264.83069</v>
      </c>
      <c r="E413">
        <v>0.96699999999999997</v>
      </c>
      <c r="F413">
        <v>1914</v>
      </c>
      <c r="G413" t="str">
        <f t="shared" si="6"/>
        <v>TIPL</v>
      </c>
    </row>
    <row r="414" spans="1:7" x14ac:dyDescent="0.4">
      <c r="A414" t="s">
        <v>109</v>
      </c>
      <c r="B414">
        <v>2.0886</v>
      </c>
      <c r="C414">
        <v>46.670499999999898</v>
      </c>
      <c r="D414">
        <v>264.83069</v>
      </c>
      <c r="E414">
        <v>2.1030000000000002</v>
      </c>
      <c r="F414">
        <v>1914</v>
      </c>
      <c r="G414" t="str">
        <f t="shared" si="6"/>
        <v>TIPL</v>
      </c>
    </row>
    <row r="415" spans="1:7" x14ac:dyDescent="0.4">
      <c r="A415" t="s">
        <v>109</v>
      </c>
      <c r="B415">
        <v>10.8605</v>
      </c>
      <c r="C415">
        <v>45.7196</v>
      </c>
      <c r="D415">
        <v>1367.8629000000001</v>
      </c>
      <c r="E415">
        <v>21.326000000000001</v>
      </c>
      <c r="F415">
        <v>1989</v>
      </c>
      <c r="G415" t="str">
        <f t="shared" si="6"/>
        <v>TIPL</v>
      </c>
    </row>
    <row r="416" spans="1:7" x14ac:dyDescent="0.4">
      <c r="A416" t="s">
        <v>109</v>
      </c>
      <c r="B416">
        <v>7.0965499999999997</v>
      </c>
      <c r="C416">
        <v>43.006549999999997</v>
      </c>
      <c r="D416" t="s">
        <v>112</v>
      </c>
      <c r="E416">
        <v>29.643000000000001</v>
      </c>
      <c r="F416">
        <v>1981</v>
      </c>
      <c r="G416" t="str">
        <f t="shared" si="6"/>
        <v>TIPL</v>
      </c>
    </row>
    <row r="417" spans="1:7" x14ac:dyDescent="0.4">
      <c r="A417" t="s">
        <v>109</v>
      </c>
      <c r="B417">
        <v>-119.4324</v>
      </c>
      <c r="C417">
        <v>37.261499999999899</v>
      </c>
      <c r="D417">
        <v>1792.5378000000001</v>
      </c>
      <c r="E417">
        <v>0.78800000000000003</v>
      </c>
      <c r="F417">
        <v>1895</v>
      </c>
      <c r="G417" t="str">
        <f t="shared" si="6"/>
        <v>TIPL</v>
      </c>
    </row>
    <row r="418" spans="1:7" x14ac:dyDescent="0.4">
      <c r="A418" t="s">
        <v>110</v>
      </c>
      <c r="B418">
        <v>-119.4324</v>
      </c>
      <c r="C418">
        <v>37.261499999999899</v>
      </c>
      <c r="D418">
        <v>1792.5378000000001</v>
      </c>
      <c r="E418">
        <v>-3.3660000000000001</v>
      </c>
      <c r="F418">
        <v>1895</v>
      </c>
      <c r="G418" t="str">
        <f t="shared" si="6"/>
        <v>TSHE</v>
      </c>
    </row>
  </sheetData>
  <autoFilter ref="A1:G418" xr:uid="{5540E3FA-C71B-4DB7-8351-C004A5DC9268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PCA</vt:lpstr>
      <vt:lpstr>speciesshift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2026-04-02T21:14:33Z</dcterms:modified>
</cp:coreProperties>
</file>