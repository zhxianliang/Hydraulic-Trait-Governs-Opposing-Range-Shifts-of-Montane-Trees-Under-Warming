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TRDB_5000\Mountain_site\"/>
    </mc:Choice>
  </mc:AlternateContent>
  <xr:revisionPtr revIDLastSave="0" documentId="13_ncr:1_{2615F43B-A694-4EFC-B50C-86F1D0B2B8C0}" xr6:coauthVersionLast="47" xr6:coauthVersionMax="47" xr10:uidLastSave="{00000000-0000-0000-0000-000000000000}"/>
  <bookViews>
    <workbookView xWindow="1837" yWindow="638" windowWidth="18886" windowHeight="12142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419" i="2" l="1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<sst xmlns="http://schemas.openxmlformats.org/spreadsheetml/2006/main" count="1123" uniqueCount="113">
  <si>
    <t>species</t>
    <phoneticPr fontId="1" type="noConversion"/>
  </si>
  <si>
    <t>lon</t>
    <phoneticPr fontId="1" type="noConversion"/>
  </si>
  <si>
    <t>lat</t>
    <phoneticPr fontId="1" type="noConversion"/>
  </si>
  <si>
    <t>ele</t>
    <phoneticPr fontId="1" type="noConversion"/>
  </si>
  <si>
    <t>shift</t>
    <phoneticPr fontId="1" type="noConversion"/>
  </si>
  <si>
    <t>year</t>
    <phoneticPr fontId="1" type="noConversion"/>
  </si>
  <si>
    <t>ABAL</t>
  </si>
  <si>
    <t>ABBA</t>
  </si>
  <si>
    <t>ABCO</t>
  </si>
  <si>
    <t>ABGR</t>
  </si>
  <si>
    <t>ACDE</t>
  </si>
  <si>
    <t>ACCA</t>
  </si>
  <si>
    <t>ACNE</t>
  </si>
  <si>
    <t>ACGL</t>
  </si>
  <si>
    <t>ACMO</t>
  </si>
  <si>
    <t>ACOP</t>
  </si>
  <si>
    <t>ACPL</t>
  </si>
  <si>
    <t>ACPS</t>
  </si>
  <si>
    <t>ACRU</t>
  </si>
  <si>
    <t>ACSA</t>
  </si>
  <si>
    <t>ADFA</t>
  </si>
  <si>
    <t>ADSP</t>
  </si>
  <si>
    <t>ALGL</t>
  </si>
  <si>
    <t>ALIN</t>
  </si>
  <si>
    <t>ALRH</t>
  </si>
  <si>
    <t>ALRU</t>
  </si>
  <si>
    <t>BEPE</t>
  </si>
  <si>
    <t>BEOC</t>
  </si>
  <si>
    <t>BEPA</t>
  </si>
  <si>
    <t>CADE</t>
  </si>
  <si>
    <t>CABE</t>
  </si>
  <si>
    <t>CEAT</t>
  </si>
  <si>
    <t>CEBE</t>
  </si>
  <si>
    <t>CHLA</t>
  </si>
  <si>
    <t>CUSE</t>
  </si>
  <si>
    <t>EUCA</t>
  </si>
  <si>
    <t>EUGL</t>
  </si>
  <si>
    <t>FASY</t>
  </si>
  <si>
    <t>FRAL</t>
  </si>
  <si>
    <t>FRAM</t>
  </si>
  <si>
    <t>FREX</t>
  </si>
  <si>
    <t>FROR</t>
  </si>
  <si>
    <t>JUCA</t>
  </si>
  <si>
    <t>JURE</t>
  </si>
  <si>
    <t>JUCO</t>
  </si>
  <si>
    <t>JUOC</t>
  </si>
  <si>
    <t>JUOX</t>
  </si>
  <si>
    <t>JUSA</t>
  </si>
  <si>
    <t>JUDE</t>
  </si>
  <si>
    <t>JUOS</t>
  </si>
  <si>
    <t>LADE</t>
  </si>
  <si>
    <t>LANO</t>
  </si>
  <si>
    <t>LIVU</t>
  </si>
  <si>
    <t>MALA</t>
  </si>
  <si>
    <t>MOAL</t>
  </si>
  <si>
    <t>PAMI</t>
  </si>
  <si>
    <t>PAMY</t>
  </si>
  <si>
    <t>PCAB</t>
  </si>
  <si>
    <t>PCGL</t>
  </si>
  <si>
    <t>PCRU</t>
    <phoneticPr fontId="1" type="noConversion"/>
  </si>
  <si>
    <t>PIMO</t>
  </si>
  <si>
    <t>PIAL</t>
  </si>
  <si>
    <t>PINI</t>
  </si>
  <si>
    <t>PICE</t>
  </si>
  <si>
    <t>PICO</t>
  </si>
  <si>
    <t>PIFL</t>
  </si>
  <si>
    <t>PIHA</t>
  </si>
  <si>
    <t>PIPI</t>
  </si>
  <si>
    <t>PIPO</t>
  </si>
  <si>
    <t>PISY</t>
  </si>
  <si>
    <t>PITE</t>
  </si>
  <si>
    <t>PLRA</t>
  </si>
  <si>
    <t>POAL</t>
  </si>
  <si>
    <t>POFR</t>
  </si>
  <si>
    <t>PONI</t>
  </si>
  <si>
    <t>POTR</t>
  </si>
  <si>
    <t>POTE</t>
    <phoneticPr fontId="1" type="noConversion"/>
  </si>
  <si>
    <t>POTI</t>
    <phoneticPr fontId="1" type="noConversion"/>
  </si>
  <si>
    <t>PRSP</t>
  </si>
  <si>
    <t>PRAV</t>
  </si>
  <si>
    <t>PRIL</t>
  </si>
  <si>
    <t>PRMA</t>
  </si>
  <si>
    <t>PRPE</t>
  </si>
  <si>
    <t>PRSE</t>
  </si>
  <si>
    <t>PRVI</t>
  </si>
  <si>
    <t>PSME</t>
  </si>
  <si>
    <t>QUAG</t>
  </si>
  <si>
    <t>QUBE</t>
  </si>
  <si>
    <t>QUCO</t>
  </si>
  <si>
    <t>QUGI</t>
    <phoneticPr fontId="1" type="noConversion"/>
  </si>
  <si>
    <t>QUGA</t>
  </si>
  <si>
    <t>QUIL</t>
  </si>
  <si>
    <t>QUPE</t>
  </si>
  <si>
    <t>QUPU</t>
  </si>
  <si>
    <t>QURO</t>
  </si>
  <si>
    <t>QUSU</t>
  </si>
  <si>
    <t>QUTU</t>
  </si>
  <si>
    <t>QUWI</t>
  </si>
  <si>
    <t>RULE</t>
  </si>
  <si>
    <t>RUPA</t>
  </si>
  <si>
    <t>SAVI</t>
  </si>
  <si>
    <t>SCMO</t>
  </si>
  <si>
    <t>SESE</t>
  </si>
  <si>
    <t>SEGI</t>
  </si>
  <si>
    <t>TARA</t>
  </si>
  <si>
    <t>TICO</t>
  </si>
  <si>
    <t>TIPL</t>
  </si>
  <si>
    <t>TSHE</t>
  </si>
  <si>
    <t>tem_b</t>
    <phoneticPr fontId="1" type="noConversion"/>
  </si>
  <si>
    <t>pdsi_b</t>
    <phoneticPr fontId="1" type="noConversion"/>
  </si>
  <si>
    <t>pre_b</t>
    <phoneticPr fontId="1" type="noConversion"/>
  </si>
  <si>
    <t>spec</t>
    <phoneticPr fontId="1" type="noConversion"/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</si>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</sst>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418"/>
  <sheetViews>
    <sheetView workbookViewId="0">
      <selection activeCell="C418" sqref="C2:C418"/>
    </sheetView>
  </sheetViews>
  <sheetFormatPr defaultColWidth="9" defaultRowHeight="13.5" x14ac:dyDescent="0.3"/>
  <cols>
    <col min="3" max="9" width="9" style="1"/>
  </cols>
  <sheetData>
    <row r="1" spans="3:12" x14ac:dyDescent="0.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111</v>
      </c>
      <c r="J1" s="1" t="s">
        <v>108</v>
      </c>
      <c r="K1" s="1" t="s">
        <v>109</v>
      </c>
      <c r="L1" s="1" t="s">
        <v>110</v>
      </c>
    </row>
    <row r="2" spans="3:12" x14ac:dyDescent="0.3">
      <c r="C2" s="1" t="s">
        <v>6</v>
      </c>
      <c r="D2" s="1">
        <v>2.0886</v>
      </c>
      <c r="E2" s="1">
        <v>46.670499999999898</v>
      </c>
      <c r="F2" s="1">
        <v>264.83069</v>
      </c>
      <c r="G2" s="1">
        <v>-1.7310000000000001</v>
      </c>
      <c r="H2" s="1">
        <v>1914</v>
      </c>
      <c r="I2" s="1" t="str">
        <f>RIGHT(LEFT(C2,5),4)</f>
        <v>ABAL</v>
      </c>
      <c r="J2">
        <v>1.49062E-2</v>
      </c>
      <c r="K2">
        <v>3.8769856160100001E-2</v>
      </c>
      <c r="L2">
        <v>-0.25414009999999998</v>
      </c>
    </row>
    <row r="3" spans="3:12" x14ac:dyDescent="0.3">
      <c r="C3" s="1" t="s">
        <v>6</v>
      </c>
      <c r="D3" s="1">
        <v>2.0886</v>
      </c>
      <c r="E3" s="1">
        <v>46.670499999999898</v>
      </c>
      <c r="F3" s="1">
        <v>264.83069</v>
      </c>
      <c r="G3" s="1">
        <v>-1.448</v>
      </c>
      <c r="H3" s="1">
        <v>1914</v>
      </c>
      <c r="I3" s="1" t="str">
        <f t="shared" ref="I3:I66" si="0">RIGHT(LEFT(C3,5),4)</f>
        <v>ABAL</v>
      </c>
      <c r="J3">
        <v>1.49062E-2</v>
      </c>
      <c r="K3">
        <v>3.8769856160100001E-2</v>
      </c>
      <c r="L3">
        <v>-0.25414009999999998</v>
      </c>
    </row>
    <row r="4" spans="3:12" x14ac:dyDescent="0.3">
      <c r="C4" s="1" t="s">
        <v>6</v>
      </c>
      <c r="D4" s="1">
        <v>7.0965499999999997</v>
      </c>
      <c r="E4" s="1">
        <v>43.006549999999997</v>
      </c>
      <c r="F4" s="1" t="s">
        <v>112</v>
      </c>
      <c r="G4" s="1">
        <v>-0.78600000000000003</v>
      </c>
      <c r="H4" s="1">
        <v>1981</v>
      </c>
      <c r="I4" s="1" t="str">
        <f t="shared" si="0"/>
        <v>ABAL</v>
      </c>
      <c r="J4" t="s">
        <v>112</v>
      </c>
      <c r="K4" t="s">
        <v>112</v>
      </c>
      <c r="L4" t="s">
        <v>112</v>
      </c>
    </row>
    <row r="5" spans="3:12" x14ac:dyDescent="0.3">
      <c r="C5" s="1" t="s">
        <v>6</v>
      </c>
      <c r="D5" s="1">
        <v>2.0886</v>
      </c>
      <c r="E5" s="1">
        <v>46.670499999999898</v>
      </c>
      <c r="F5" s="1">
        <v>264.83069</v>
      </c>
      <c r="G5" s="1">
        <v>-0.61399999999999999</v>
      </c>
      <c r="H5" s="1">
        <v>1914</v>
      </c>
      <c r="I5" s="1" t="str">
        <f t="shared" si="0"/>
        <v>ABAL</v>
      </c>
      <c r="J5">
        <v>1.49062E-2</v>
      </c>
      <c r="K5">
        <v>3.8769856160100001E-2</v>
      </c>
      <c r="L5">
        <v>-0.25414009999999998</v>
      </c>
    </row>
    <row r="6" spans="3:12" x14ac:dyDescent="0.3">
      <c r="C6" s="1" t="s">
        <v>6</v>
      </c>
      <c r="D6" s="1">
        <v>13.4633</v>
      </c>
      <c r="E6" s="1">
        <v>48.921500000000002</v>
      </c>
      <c r="F6" s="1">
        <v>869.87121999999999</v>
      </c>
      <c r="G6" s="1">
        <v>-0.45</v>
      </c>
      <c r="H6" s="1">
        <v>1902</v>
      </c>
      <c r="I6" s="1" t="str">
        <f t="shared" si="0"/>
        <v>ABAL</v>
      </c>
      <c r="J6">
        <v>2.1232E-3</v>
      </c>
      <c r="K6">
        <v>-5.7588805503439998E-2</v>
      </c>
      <c r="L6">
        <v>-0.5666291</v>
      </c>
    </row>
    <row r="7" spans="3:12" x14ac:dyDescent="0.3">
      <c r="C7" s="1" t="s">
        <v>6</v>
      </c>
      <c r="D7" s="1">
        <v>19.6858</v>
      </c>
      <c r="E7" s="1">
        <v>48.844700000000003</v>
      </c>
      <c r="F7" s="1">
        <v>701.47131000000002</v>
      </c>
      <c r="G7" s="1">
        <v>0</v>
      </c>
      <c r="H7" s="1">
        <v>1966</v>
      </c>
      <c r="I7" s="1" t="str">
        <f t="shared" si="0"/>
        <v>ABAL</v>
      </c>
      <c r="J7">
        <v>-1.7639100000000001E-2</v>
      </c>
      <c r="K7">
        <v>-3.2774233896185001E-2</v>
      </c>
      <c r="L7">
        <v>-0.5645559</v>
      </c>
    </row>
    <row r="8" spans="3:12" x14ac:dyDescent="0.3">
      <c r="C8" s="1" t="s">
        <v>6</v>
      </c>
      <c r="D8" s="1">
        <v>19.6858</v>
      </c>
      <c r="E8" s="1">
        <v>48.844700000000003</v>
      </c>
      <c r="F8" s="1">
        <v>701.47131000000002</v>
      </c>
      <c r="G8" s="1">
        <v>0.51900000000000002</v>
      </c>
      <c r="H8" s="1">
        <v>1966</v>
      </c>
      <c r="I8" s="1" t="str">
        <f t="shared" si="0"/>
        <v>ABAL</v>
      </c>
      <c r="J8">
        <v>-1.7639100000000001E-2</v>
      </c>
      <c r="K8">
        <v>-3.2774233896185001E-2</v>
      </c>
      <c r="L8">
        <v>-0.5645559</v>
      </c>
    </row>
    <row r="9" spans="3:12" x14ac:dyDescent="0.3">
      <c r="C9" s="1" t="s">
        <v>6</v>
      </c>
      <c r="D9" s="1">
        <v>19.6858</v>
      </c>
      <c r="E9" s="1">
        <v>48.844700000000003</v>
      </c>
      <c r="F9" s="1">
        <v>701.47131000000002</v>
      </c>
      <c r="G9" s="1">
        <v>0.65200000000000002</v>
      </c>
      <c r="H9" s="1">
        <v>1966</v>
      </c>
      <c r="I9" s="1" t="str">
        <f t="shared" si="0"/>
        <v>ABAL</v>
      </c>
      <c r="J9">
        <v>-1.7639100000000001E-2</v>
      </c>
      <c r="K9">
        <v>-3.2774233896185001E-2</v>
      </c>
      <c r="L9">
        <v>-0.5645559</v>
      </c>
    </row>
    <row r="10" spans="3:12" x14ac:dyDescent="0.3">
      <c r="C10" s="1" t="s">
        <v>6</v>
      </c>
      <c r="D10" s="1">
        <v>5.3539166666666702</v>
      </c>
      <c r="E10" s="1">
        <v>45.007733333333299</v>
      </c>
      <c r="F10" s="1">
        <v>761.62267999999995</v>
      </c>
      <c r="G10" s="1">
        <v>4.1550000000000002</v>
      </c>
      <c r="H10" s="1">
        <v>1905</v>
      </c>
      <c r="I10" s="1" t="str">
        <f t="shared" si="0"/>
        <v>ABAL</v>
      </c>
      <c r="J10">
        <v>1.3298900000000001E-2</v>
      </c>
      <c r="K10">
        <v>-1.2570981863665001E-2</v>
      </c>
      <c r="L10">
        <v>-0.61279859999999997</v>
      </c>
    </row>
    <row r="11" spans="3:12" x14ac:dyDescent="0.3">
      <c r="C11" s="1" t="s">
        <v>6</v>
      </c>
      <c r="D11" s="1">
        <v>10.8605</v>
      </c>
      <c r="E11" s="1">
        <v>45.7196</v>
      </c>
      <c r="F11" s="1">
        <v>1367.8629000000001</v>
      </c>
      <c r="G11" s="1">
        <v>8.9139999999999997</v>
      </c>
      <c r="H11" s="1">
        <v>1989</v>
      </c>
      <c r="I11" s="1" t="str">
        <f t="shared" si="0"/>
        <v>ABAL</v>
      </c>
      <c r="J11">
        <v>5.4095999999999997E-3</v>
      </c>
      <c r="K11">
        <v>-8.6163227016889995E-3</v>
      </c>
      <c r="L11">
        <v>-5.6400000000000002E-5</v>
      </c>
    </row>
    <row r="12" spans="3:12" x14ac:dyDescent="0.3">
      <c r="C12" s="1" t="s">
        <v>7</v>
      </c>
      <c r="D12" s="1">
        <v>-71.156700000000001</v>
      </c>
      <c r="E12" s="1">
        <v>45.460099999999898</v>
      </c>
      <c r="F12" s="1">
        <v>901.67474000000004</v>
      </c>
      <c r="G12" s="1">
        <v>0.25600000000000001</v>
      </c>
      <c r="H12" s="1">
        <v>1970</v>
      </c>
      <c r="I12" s="1" t="str">
        <f t="shared" si="0"/>
        <v>ABBA</v>
      </c>
      <c r="J12">
        <v>6.8230000000000001E-3</v>
      </c>
      <c r="K12">
        <v>1.2881801125703999E-2</v>
      </c>
      <c r="L12">
        <v>0.35348039999999997</v>
      </c>
    </row>
    <row r="13" spans="3:12" x14ac:dyDescent="0.3">
      <c r="C13" s="1" t="s">
        <v>8</v>
      </c>
      <c r="D13" s="1">
        <v>-121.3335</v>
      </c>
      <c r="E13" s="1">
        <v>38.500700000000002</v>
      </c>
      <c r="F13" s="1">
        <v>17.796066</v>
      </c>
      <c r="G13" s="1">
        <v>-0.35399999999999998</v>
      </c>
      <c r="H13" s="1">
        <v>1930</v>
      </c>
      <c r="I13" s="1" t="str">
        <f t="shared" si="0"/>
        <v>ABCO</v>
      </c>
      <c r="J13">
        <v>7.2951999999999999E-3</v>
      </c>
      <c r="K13">
        <v>4.4734208880549998E-3</v>
      </c>
      <c r="L13">
        <v>3.0206E-3</v>
      </c>
    </row>
    <row r="14" spans="3:12" x14ac:dyDescent="0.3">
      <c r="C14" s="1" t="s">
        <v>8</v>
      </c>
      <c r="D14" s="1">
        <v>-120.3503</v>
      </c>
      <c r="E14" s="1">
        <v>39.061799999999899</v>
      </c>
      <c r="F14" s="1">
        <v>1967.6869999999999</v>
      </c>
      <c r="G14" s="1">
        <v>0</v>
      </c>
      <c r="H14" s="1">
        <v>1934</v>
      </c>
      <c r="I14" s="1" t="str">
        <f t="shared" si="0"/>
        <v>ABCO</v>
      </c>
      <c r="J14">
        <v>1.9990600000000001E-2</v>
      </c>
      <c r="K14">
        <v>-3.4824577861162997E-2</v>
      </c>
      <c r="L14">
        <v>5.3423999999999999E-2</v>
      </c>
    </row>
    <row r="15" spans="3:12" x14ac:dyDescent="0.3">
      <c r="C15" s="1" t="s">
        <v>8</v>
      </c>
      <c r="D15" s="1">
        <v>-119.4324</v>
      </c>
      <c r="E15" s="1">
        <v>37.261499999999899</v>
      </c>
      <c r="F15" s="1">
        <v>1792.5378000000001</v>
      </c>
      <c r="G15" s="1">
        <v>1.4430000000000001</v>
      </c>
      <c r="H15" s="1">
        <v>1895</v>
      </c>
      <c r="I15" s="1" t="str">
        <f t="shared" si="0"/>
        <v>ABCO</v>
      </c>
      <c r="J15">
        <v>1.62414E-2</v>
      </c>
      <c r="K15">
        <v>-8.2698561601E-3</v>
      </c>
      <c r="L15">
        <v>2.8980599999999999E-2</v>
      </c>
    </row>
    <row r="16" spans="3:12" x14ac:dyDescent="0.3">
      <c r="C16" s="1" t="s">
        <v>8</v>
      </c>
      <c r="D16" s="1">
        <v>-116.7925</v>
      </c>
      <c r="E16" s="1">
        <v>33.768999999999899</v>
      </c>
      <c r="F16" s="1">
        <v>1513.3244999999999</v>
      </c>
      <c r="G16" s="1">
        <v>3.1480000000000001</v>
      </c>
      <c r="H16" s="1">
        <v>1977</v>
      </c>
      <c r="I16" s="1" t="str">
        <f t="shared" si="0"/>
        <v>ABCO</v>
      </c>
      <c r="J16">
        <v>2.6838600000000001E-2</v>
      </c>
      <c r="K16">
        <v>-6.1100687929999998E-4</v>
      </c>
      <c r="L16">
        <v>0.13134770000000001</v>
      </c>
    </row>
    <row r="17" spans="3:12" x14ac:dyDescent="0.3">
      <c r="C17" s="1" t="s">
        <v>9</v>
      </c>
      <c r="D17" s="1">
        <v>-119.4324</v>
      </c>
      <c r="E17" s="1">
        <v>37.261499999999899</v>
      </c>
      <c r="F17" s="1">
        <v>1792.5378000000001</v>
      </c>
      <c r="G17" s="1">
        <v>-1.4350000000000001</v>
      </c>
      <c r="H17" s="1">
        <v>1895</v>
      </c>
      <c r="I17" s="1" t="str">
        <f t="shared" si="0"/>
        <v>ABGR</v>
      </c>
      <c r="J17">
        <v>1.62414E-2</v>
      </c>
      <c r="K17">
        <v>-8.2698561601E-3</v>
      </c>
      <c r="L17">
        <v>2.8980599999999999E-2</v>
      </c>
    </row>
    <row r="18" spans="3:12" x14ac:dyDescent="0.3">
      <c r="C18" s="1" t="s">
        <v>10</v>
      </c>
      <c r="D18" s="1">
        <v>-119.4324</v>
      </c>
      <c r="E18" s="1">
        <v>37.261499999999899</v>
      </c>
      <c r="F18" s="1">
        <v>1792.5378000000001</v>
      </c>
      <c r="G18" s="1">
        <v>-3.4039999999999999</v>
      </c>
      <c r="H18" s="1">
        <v>1895</v>
      </c>
      <c r="I18" s="1" t="str">
        <f t="shared" si="0"/>
        <v>ACDE</v>
      </c>
      <c r="J18">
        <v>1.62414E-2</v>
      </c>
      <c r="K18">
        <v>-8.2698561601E-3</v>
      </c>
      <c r="L18">
        <v>2.8980599999999999E-2</v>
      </c>
    </row>
    <row r="19" spans="3:12" x14ac:dyDescent="0.3">
      <c r="C19" s="1" t="s">
        <v>11</v>
      </c>
      <c r="D19" s="1">
        <v>-119.4324</v>
      </c>
      <c r="E19" s="1">
        <v>37.261499999999899</v>
      </c>
      <c r="F19" s="1">
        <v>1792.5378000000001</v>
      </c>
      <c r="G19" s="1">
        <v>0.73499999999999999</v>
      </c>
      <c r="H19" s="1">
        <v>1895</v>
      </c>
      <c r="I19" s="1" t="str">
        <f t="shared" si="0"/>
        <v>ACCA</v>
      </c>
      <c r="J19">
        <v>1.62414E-2</v>
      </c>
      <c r="K19">
        <v>-8.2698561601E-3</v>
      </c>
      <c r="L19">
        <v>2.8980599999999999E-2</v>
      </c>
    </row>
    <row r="20" spans="3:12" x14ac:dyDescent="0.3">
      <c r="C20" s="1" t="s">
        <v>12</v>
      </c>
      <c r="D20" s="1">
        <v>85.479100000000003</v>
      </c>
      <c r="E20" s="1">
        <v>28.114000000000001</v>
      </c>
      <c r="F20" s="1">
        <v>4879.3306000000002</v>
      </c>
      <c r="G20" s="1">
        <v>-1.3740000000000001</v>
      </c>
      <c r="H20" s="1">
        <v>1986</v>
      </c>
      <c r="I20" s="1" t="str">
        <f t="shared" si="0"/>
        <v>ACNE</v>
      </c>
      <c r="J20">
        <v>-4.8436E-3</v>
      </c>
      <c r="K20">
        <v>8.4101313320826002E-2</v>
      </c>
      <c r="L20">
        <v>-0.53646360000000004</v>
      </c>
    </row>
    <row r="21" spans="3:12" x14ac:dyDescent="0.3">
      <c r="C21" s="1" t="s">
        <v>12</v>
      </c>
      <c r="D21" s="1">
        <v>88.524900000000002</v>
      </c>
      <c r="E21" s="1">
        <v>27.904599999999899</v>
      </c>
      <c r="F21" s="1">
        <v>4072.03</v>
      </c>
      <c r="G21" s="1">
        <v>4.8150000000000004</v>
      </c>
      <c r="H21" s="1">
        <v>1849</v>
      </c>
      <c r="I21" s="1" t="str">
        <f t="shared" si="0"/>
        <v>ACNE</v>
      </c>
      <c r="J21">
        <v>5.3346000000000001E-3</v>
      </c>
      <c r="K21">
        <v>3.1974358974358998E-2</v>
      </c>
      <c r="L21">
        <v>-0.55690430000000002</v>
      </c>
    </row>
    <row r="22" spans="3:12" x14ac:dyDescent="0.3">
      <c r="C22" s="1" t="s">
        <v>12</v>
      </c>
      <c r="D22" s="1">
        <v>88.524900000000002</v>
      </c>
      <c r="E22" s="1">
        <v>27.904599999999899</v>
      </c>
      <c r="F22" s="1">
        <v>4072.03</v>
      </c>
      <c r="G22" s="1">
        <v>4.915</v>
      </c>
      <c r="H22" s="1">
        <v>1849</v>
      </c>
      <c r="I22" s="1" t="str">
        <f t="shared" si="0"/>
        <v>ACNE</v>
      </c>
      <c r="J22">
        <v>5.3346000000000001E-3</v>
      </c>
      <c r="K22">
        <v>3.1974358974358998E-2</v>
      </c>
      <c r="L22">
        <v>-0.55690430000000002</v>
      </c>
    </row>
    <row r="23" spans="3:12" x14ac:dyDescent="0.3">
      <c r="C23" s="1" t="s">
        <v>12</v>
      </c>
      <c r="D23" s="1">
        <v>88.524900000000002</v>
      </c>
      <c r="E23" s="1">
        <v>27.904599999999899</v>
      </c>
      <c r="F23" s="1">
        <v>4072.03</v>
      </c>
      <c r="G23" s="1">
        <v>5.0149999999999997</v>
      </c>
      <c r="H23" s="1">
        <v>1849</v>
      </c>
      <c r="I23" s="1" t="str">
        <f t="shared" si="0"/>
        <v>ACNE</v>
      </c>
      <c r="J23">
        <v>5.3346000000000001E-3</v>
      </c>
      <c r="K23">
        <v>3.1974358974358998E-2</v>
      </c>
      <c r="L23">
        <v>-0.55690430000000002</v>
      </c>
    </row>
    <row r="24" spans="3:12" x14ac:dyDescent="0.3">
      <c r="C24" s="1" t="s">
        <v>11</v>
      </c>
      <c r="D24" s="1">
        <v>2.0886</v>
      </c>
      <c r="E24" s="1">
        <v>46.670499999999898</v>
      </c>
      <c r="F24" s="1">
        <v>264.83069</v>
      </c>
      <c r="G24" s="1">
        <v>0.317</v>
      </c>
      <c r="H24" s="1">
        <v>1914</v>
      </c>
      <c r="I24" s="1" t="str">
        <f t="shared" si="0"/>
        <v>ACCA</v>
      </c>
      <c r="J24">
        <v>1.49062E-2</v>
      </c>
      <c r="K24">
        <v>3.8769856160100001E-2</v>
      </c>
      <c r="L24">
        <v>-0.25414009999999998</v>
      </c>
    </row>
    <row r="25" spans="3:12" x14ac:dyDescent="0.3">
      <c r="C25" s="1" t="s">
        <v>11</v>
      </c>
      <c r="D25" s="1">
        <v>5.3539166666666702</v>
      </c>
      <c r="E25" s="1">
        <v>45.007733333333299</v>
      </c>
      <c r="F25" s="1">
        <v>761.62267999999995</v>
      </c>
      <c r="G25" s="1">
        <v>0.35</v>
      </c>
      <c r="H25" s="1">
        <v>1905</v>
      </c>
      <c r="I25" s="1" t="str">
        <f t="shared" si="0"/>
        <v>ACCA</v>
      </c>
      <c r="J25">
        <v>1.3298900000000001E-2</v>
      </c>
      <c r="K25">
        <v>-1.2570981863665001E-2</v>
      </c>
      <c r="L25">
        <v>-0.61279859999999997</v>
      </c>
    </row>
    <row r="26" spans="3:12" x14ac:dyDescent="0.3">
      <c r="C26" s="1" t="s">
        <v>11</v>
      </c>
      <c r="D26" s="1">
        <v>2.0886</v>
      </c>
      <c r="E26" s="1">
        <v>46.670499999999898</v>
      </c>
      <c r="F26" s="1">
        <v>264.83069</v>
      </c>
      <c r="G26" s="1">
        <v>0.55200000000000005</v>
      </c>
      <c r="H26" s="1">
        <v>1914</v>
      </c>
      <c r="I26" s="1" t="str">
        <f t="shared" si="0"/>
        <v>ACCA</v>
      </c>
      <c r="J26">
        <v>1.49062E-2</v>
      </c>
      <c r="K26">
        <v>3.8769856160100001E-2</v>
      </c>
      <c r="L26">
        <v>-0.25414009999999998</v>
      </c>
    </row>
    <row r="27" spans="3:12" x14ac:dyDescent="0.3">
      <c r="C27" s="1" t="s">
        <v>11</v>
      </c>
      <c r="D27" s="1">
        <v>10.8605</v>
      </c>
      <c r="E27" s="1">
        <v>45.7196</v>
      </c>
      <c r="F27" s="1">
        <v>1367.8629000000001</v>
      </c>
      <c r="G27" s="1">
        <v>0.76500000000000001</v>
      </c>
      <c r="H27" s="1">
        <v>1989</v>
      </c>
      <c r="I27" s="1" t="str">
        <f t="shared" si="0"/>
        <v>ACCA</v>
      </c>
      <c r="J27">
        <v>5.4095999999999997E-3</v>
      </c>
      <c r="K27">
        <v>-8.6163227016889995E-3</v>
      </c>
      <c r="L27">
        <v>-5.6400000000000002E-5</v>
      </c>
    </row>
    <row r="28" spans="3:12" x14ac:dyDescent="0.3">
      <c r="C28" s="1" t="s">
        <v>11</v>
      </c>
      <c r="D28" s="1">
        <v>2.0886</v>
      </c>
      <c r="E28" s="1">
        <v>46.670499999999898</v>
      </c>
      <c r="F28" s="1">
        <v>264.83069</v>
      </c>
      <c r="G28" s="1">
        <v>0.94199999999999995</v>
      </c>
      <c r="H28" s="1">
        <v>1914</v>
      </c>
      <c r="I28" s="1" t="str">
        <f t="shared" si="0"/>
        <v>ACCA</v>
      </c>
      <c r="J28">
        <v>1.49062E-2</v>
      </c>
      <c r="K28">
        <v>3.8769856160100001E-2</v>
      </c>
      <c r="L28">
        <v>-0.25414009999999998</v>
      </c>
    </row>
    <row r="29" spans="3:12" x14ac:dyDescent="0.3">
      <c r="C29" s="1" t="s">
        <v>11</v>
      </c>
      <c r="D29" s="1">
        <v>7.0965499999999997</v>
      </c>
      <c r="E29" s="1">
        <v>43.006549999999997</v>
      </c>
      <c r="F29" s="1" t="s">
        <v>112</v>
      </c>
      <c r="G29" s="1">
        <v>7.7859999999999996</v>
      </c>
      <c r="H29" s="1">
        <v>1981</v>
      </c>
      <c r="I29" s="1" t="str">
        <f t="shared" si="0"/>
        <v>ACCA</v>
      </c>
      <c r="J29" t="s">
        <v>112</v>
      </c>
      <c r="K29" t="s">
        <v>112</v>
      </c>
      <c r="L29" t="s">
        <v>112</v>
      </c>
    </row>
    <row r="30" spans="3:12" x14ac:dyDescent="0.3">
      <c r="C30" s="1" t="s">
        <v>13</v>
      </c>
      <c r="D30" s="1">
        <v>-119.4324</v>
      </c>
      <c r="E30" s="1">
        <v>37.261499999999899</v>
      </c>
      <c r="F30" s="1">
        <v>1792.5378000000001</v>
      </c>
      <c r="G30" s="1">
        <v>-2.9060000000000001</v>
      </c>
      <c r="H30" s="1">
        <v>1895</v>
      </c>
      <c r="I30" s="1" t="str">
        <f t="shared" si="0"/>
        <v>ACGL</v>
      </c>
      <c r="J30">
        <v>1.62414E-2</v>
      </c>
      <c r="K30">
        <v>-8.2698561601E-3</v>
      </c>
      <c r="L30">
        <v>2.8980599999999999E-2</v>
      </c>
    </row>
    <row r="31" spans="3:12" x14ac:dyDescent="0.3">
      <c r="C31" s="1" t="s">
        <v>13</v>
      </c>
      <c r="D31" s="1">
        <v>-119.4324</v>
      </c>
      <c r="E31" s="1">
        <v>37.261499999999899</v>
      </c>
      <c r="F31" s="1">
        <v>1792.5378000000001</v>
      </c>
      <c r="G31" s="1">
        <v>-2.5459999999999998</v>
      </c>
      <c r="H31" s="1">
        <v>1895</v>
      </c>
      <c r="I31" s="1" t="str">
        <f t="shared" si="0"/>
        <v>ACGL</v>
      </c>
      <c r="J31">
        <v>1.62414E-2</v>
      </c>
      <c r="K31">
        <v>-8.2698561601E-3</v>
      </c>
      <c r="L31">
        <v>2.8980599999999999E-2</v>
      </c>
    </row>
    <row r="32" spans="3:12" x14ac:dyDescent="0.3">
      <c r="C32" s="1" t="s">
        <v>13</v>
      </c>
      <c r="D32" s="1">
        <v>-119.4324</v>
      </c>
      <c r="E32" s="1">
        <v>37.261499999999899</v>
      </c>
      <c r="F32" s="1">
        <v>1792.5378000000001</v>
      </c>
      <c r="G32" s="1">
        <v>4.1040000000000001</v>
      </c>
      <c r="H32" s="1">
        <v>1895</v>
      </c>
      <c r="I32" s="1" t="str">
        <f t="shared" si="0"/>
        <v>ACGL</v>
      </c>
      <c r="J32">
        <v>1.62414E-2</v>
      </c>
      <c r="K32">
        <v>-8.2698561601E-3</v>
      </c>
      <c r="L32">
        <v>2.8980599999999999E-2</v>
      </c>
    </row>
    <row r="33" spans="3:12" x14ac:dyDescent="0.3">
      <c r="C33" s="1" t="s">
        <v>14</v>
      </c>
      <c r="D33" s="1">
        <v>5.3539166666666702</v>
      </c>
      <c r="E33" s="1">
        <v>45.007733333333299</v>
      </c>
      <c r="F33" s="1">
        <v>761.62267999999995</v>
      </c>
      <c r="G33" s="1">
        <v>2.6989999999999998</v>
      </c>
      <c r="H33" s="1">
        <v>1905</v>
      </c>
      <c r="I33" s="1" t="str">
        <f t="shared" si="0"/>
        <v>ACMO</v>
      </c>
      <c r="J33">
        <v>1.3298900000000001E-2</v>
      </c>
      <c r="K33">
        <v>-1.2570981863665001E-2</v>
      </c>
      <c r="L33">
        <v>-0.61279859999999997</v>
      </c>
    </row>
    <row r="34" spans="3:12" x14ac:dyDescent="0.3">
      <c r="C34" s="1" t="s">
        <v>14</v>
      </c>
      <c r="D34" s="1">
        <v>7.0965499999999997</v>
      </c>
      <c r="E34" s="1">
        <v>43.006549999999997</v>
      </c>
      <c r="F34" s="1" t="s">
        <v>112</v>
      </c>
      <c r="G34" s="1">
        <v>2.9289999999999998</v>
      </c>
      <c r="H34" s="1">
        <v>1981</v>
      </c>
      <c r="I34" s="1" t="str">
        <f t="shared" si="0"/>
        <v>ACMO</v>
      </c>
      <c r="J34" t="s">
        <v>112</v>
      </c>
      <c r="K34" t="s">
        <v>112</v>
      </c>
      <c r="L34" t="s">
        <v>112</v>
      </c>
    </row>
    <row r="35" spans="3:12" x14ac:dyDescent="0.3">
      <c r="C35" s="1" t="s">
        <v>12</v>
      </c>
      <c r="D35" s="1">
        <v>-119.4324</v>
      </c>
      <c r="E35" s="1">
        <v>37.261499999999899</v>
      </c>
      <c r="F35" s="1">
        <v>1792.5378000000001</v>
      </c>
      <c r="G35" s="1">
        <v>2.7469999999999999</v>
      </c>
      <c r="H35" s="1">
        <v>1895</v>
      </c>
      <c r="I35" s="1" t="str">
        <f t="shared" si="0"/>
        <v>ACNE</v>
      </c>
      <c r="J35">
        <v>1.62414E-2</v>
      </c>
      <c r="K35">
        <v>-8.2698561601E-3</v>
      </c>
      <c r="L35">
        <v>2.8980599999999999E-2</v>
      </c>
    </row>
    <row r="36" spans="3:12" x14ac:dyDescent="0.3">
      <c r="C36" s="1" t="s">
        <v>12</v>
      </c>
      <c r="D36" s="1">
        <v>10.8605</v>
      </c>
      <c r="E36" s="1">
        <v>45.7196</v>
      </c>
      <c r="F36" s="1">
        <v>1367.8629000000001</v>
      </c>
      <c r="G36" s="1">
        <v>35.555999999999997</v>
      </c>
      <c r="H36" s="1">
        <v>1989</v>
      </c>
      <c r="I36" s="1" t="str">
        <f t="shared" si="0"/>
        <v>ACNE</v>
      </c>
      <c r="J36">
        <v>5.4095999999999997E-3</v>
      </c>
      <c r="K36">
        <v>-8.6163227016889995E-3</v>
      </c>
      <c r="L36">
        <v>-5.6400000000000002E-5</v>
      </c>
    </row>
    <row r="37" spans="3:12" x14ac:dyDescent="0.3">
      <c r="C37" s="1" t="s">
        <v>15</v>
      </c>
      <c r="D37" s="1">
        <v>7.0965499999999997</v>
      </c>
      <c r="E37" s="1">
        <v>43.006549999999997</v>
      </c>
      <c r="F37" s="1" t="s">
        <v>112</v>
      </c>
      <c r="G37" s="1">
        <v>0.85699999999999998</v>
      </c>
      <c r="H37" s="1">
        <v>1981</v>
      </c>
      <c r="I37" s="1" t="str">
        <f t="shared" si="0"/>
        <v>ACOP</v>
      </c>
      <c r="J37" t="s">
        <v>112</v>
      </c>
      <c r="K37" t="s">
        <v>112</v>
      </c>
      <c r="L37" t="s">
        <v>112</v>
      </c>
    </row>
    <row r="38" spans="3:12" x14ac:dyDescent="0.3">
      <c r="C38" s="1" t="s">
        <v>15</v>
      </c>
      <c r="D38" s="1">
        <v>5.3539166666666702</v>
      </c>
      <c r="E38" s="1">
        <v>45.007733333333299</v>
      </c>
      <c r="F38" s="1">
        <v>761.62267999999995</v>
      </c>
      <c r="G38" s="1">
        <v>2.66</v>
      </c>
      <c r="H38" s="1">
        <v>1905</v>
      </c>
      <c r="I38" s="1" t="str">
        <f t="shared" si="0"/>
        <v>ACOP</v>
      </c>
      <c r="J38">
        <v>1.3298900000000001E-2</v>
      </c>
      <c r="K38">
        <v>-1.2570981863665001E-2</v>
      </c>
      <c r="L38">
        <v>-0.61279859999999997</v>
      </c>
    </row>
    <row r="39" spans="3:12" x14ac:dyDescent="0.3">
      <c r="C39" s="1" t="s">
        <v>16</v>
      </c>
      <c r="D39" s="1">
        <v>13.4633</v>
      </c>
      <c r="E39" s="1">
        <v>48.921500000000002</v>
      </c>
      <c r="F39" s="1">
        <v>869.87121999999999</v>
      </c>
      <c r="G39" s="1">
        <v>-2.2389999999999999</v>
      </c>
      <c r="H39" s="1">
        <v>1902</v>
      </c>
      <c r="I39" s="1" t="str">
        <f t="shared" si="0"/>
        <v>ACPL</v>
      </c>
      <c r="J39">
        <v>2.1232E-3</v>
      </c>
      <c r="K39">
        <v>-5.7588805503439998E-2</v>
      </c>
      <c r="L39">
        <v>-0.5666291</v>
      </c>
    </row>
    <row r="40" spans="3:12" x14ac:dyDescent="0.3">
      <c r="C40" s="1" t="s">
        <v>16</v>
      </c>
      <c r="D40" s="1">
        <v>2.0886</v>
      </c>
      <c r="E40" s="1">
        <v>46.670499999999898</v>
      </c>
      <c r="F40" s="1">
        <v>264.83069</v>
      </c>
      <c r="G40" s="1">
        <v>0.11700000000000001</v>
      </c>
      <c r="H40" s="1">
        <v>1914</v>
      </c>
      <c r="I40" s="1" t="str">
        <f t="shared" si="0"/>
        <v>ACPL</v>
      </c>
      <c r="J40">
        <v>1.49062E-2</v>
      </c>
      <c r="K40">
        <v>3.8769856160100001E-2</v>
      </c>
      <c r="L40">
        <v>-0.25414009999999998</v>
      </c>
    </row>
    <row r="41" spans="3:12" x14ac:dyDescent="0.3">
      <c r="C41" s="1" t="s">
        <v>16</v>
      </c>
      <c r="D41" s="1">
        <v>19.6858</v>
      </c>
      <c r="E41" s="1">
        <v>48.844700000000003</v>
      </c>
      <c r="F41" s="1">
        <v>701.47131000000002</v>
      </c>
      <c r="G41" s="1">
        <v>0.55100000000000005</v>
      </c>
      <c r="H41" s="1">
        <v>1966</v>
      </c>
      <c r="I41" s="1" t="str">
        <f t="shared" si="0"/>
        <v>ACPL</v>
      </c>
      <c r="J41">
        <v>-1.7639100000000001E-2</v>
      </c>
      <c r="K41">
        <v>-3.2774233896185001E-2</v>
      </c>
      <c r="L41">
        <v>-0.5645559</v>
      </c>
    </row>
    <row r="42" spans="3:12" x14ac:dyDescent="0.3">
      <c r="C42" s="1" t="s">
        <v>16</v>
      </c>
      <c r="D42" s="1">
        <v>19.6858</v>
      </c>
      <c r="E42" s="1">
        <v>48.844700000000003</v>
      </c>
      <c r="F42" s="1">
        <v>701.47131000000002</v>
      </c>
      <c r="G42" s="1">
        <v>0.90100000000000002</v>
      </c>
      <c r="H42" s="1">
        <v>1966</v>
      </c>
      <c r="I42" s="1" t="str">
        <f t="shared" si="0"/>
        <v>ACPL</v>
      </c>
      <c r="J42">
        <v>-1.7639100000000001E-2</v>
      </c>
      <c r="K42">
        <v>-3.2774233896185001E-2</v>
      </c>
      <c r="L42">
        <v>-0.5645559</v>
      </c>
    </row>
    <row r="43" spans="3:12" x14ac:dyDescent="0.3">
      <c r="C43" s="1" t="s">
        <v>16</v>
      </c>
      <c r="D43" s="1">
        <v>19.6858</v>
      </c>
      <c r="E43" s="1">
        <v>48.844700000000003</v>
      </c>
      <c r="F43" s="1">
        <v>701.47131000000002</v>
      </c>
      <c r="G43" s="1">
        <v>1.1879999999999999</v>
      </c>
      <c r="H43" s="1">
        <v>1966</v>
      </c>
      <c r="I43" s="1" t="str">
        <f t="shared" si="0"/>
        <v>ACPL</v>
      </c>
      <c r="J43">
        <v>-1.7639100000000001E-2</v>
      </c>
      <c r="K43">
        <v>-3.2774233896185001E-2</v>
      </c>
      <c r="L43">
        <v>-0.5645559</v>
      </c>
    </row>
    <row r="44" spans="3:12" x14ac:dyDescent="0.3">
      <c r="C44" s="1" t="s">
        <v>16</v>
      </c>
      <c r="D44" s="1">
        <v>5.3539166666666702</v>
      </c>
      <c r="E44" s="1">
        <v>45.007733333333299</v>
      </c>
      <c r="F44" s="1">
        <v>761.62267999999995</v>
      </c>
      <c r="G44" s="1">
        <v>2.4079999999999999</v>
      </c>
      <c r="H44" s="1">
        <v>1905</v>
      </c>
      <c r="I44" s="1" t="str">
        <f t="shared" si="0"/>
        <v>ACPL</v>
      </c>
      <c r="J44">
        <v>1.3298900000000001E-2</v>
      </c>
      <c r="K44">
        <v>-1.2570981863665001E-2</v>
      </c>
      <c r="L44">
        <v>-0.61279859999999997</v>
      </c>
    </row>
    <row r="45" spans="3:12" x14ac:dyDescent="0.3">
      <c r="C45" s="1" t="s">
        <v>16</v>
      </c>
      <c r="D45" s="1">
        <v>2.0886</v>
      </c>
      <c r="E45" s="1">
        <v>46.670499999999898</v>
      </c>
      <c r="F45" s="1">
        <v>264.83069</v>
      </c>
      <c r="G45" s="1">
        <v>2.5790000000000002</v>
      </c>
      <c r="H45" s="1">
        <v>1914</v>
      </c>
      <c r="I45" s="1" t="str">
        <f t="shared" si="0"/>
        <v>ACPL</v>
      </c>
      <c r="J45">
        <v>1.49062E-2</v>
      </c>
      <c r="K45">
        <v>3.8769856160100001E-2</v>
      </c>
      <c r="L45">
        <v>-0.25414009999999998</v>
      </c>
    </row>
    <row r="46" spans="3:12" x14ac:dyDescent="0.3">
      <c r="C46" s="1" t="s">
        <v>16</v>
      </c>
      <c r="D46" s="1">
        <v>2.0886</v>
      </c>
      <c r="E46" s="1">
        <v>46.670499999999898</v>
      </c>
      <c r="F46" s="1">
        <v>264.83069</v>
      </c>
      <c r="G46" s="1">
        <v>6.4480000000000004</v>
      </c>
      <c r="H46" s="1">
        <v>1914</v>
      </c>
      <c r="I46" s="1" t="str">
        <f t="shared" si="0"/>
        <v>ACPL</v>
      </c>
      <c r="J46">
        <v>1.49062E-2</v>
      </c>
      <c r="K46">
        <v>3.8769856160100001E-2</v>
      </c>
      <c r="L46">
        <v>-0.25414009999999998</v>
      </c>
    </row>
    <row r="47" spans="3:12" x14ac:dyDescent="0.3">
      <c r="C47" s="1" t="s">
        <v>16</v>
      </c>
      <c r="D47" s="1">
        <v>10.8605</v>
      </c>
      <c r="E47" s="1">
        <v>45.7196</v>
      </c>
      <c r="F47" s="1">
        <v>1367.8629000000001</v>
      </c>
      <c r="G47" s="1">
        <v>9.8230000000000004</v>
      </c>
      <c r="H47" s="1">
        <v>1989</v>
      </c>
      <c r="I47" s="1" t="str">
        <f t="shared" si="0"/>
        <v>ACPL</v>
      </c>
      <c r="J47">
        <v>5.4095999999999997E-3</v>
      </c>
      <c r="K47">
        <v>-8.6163227016889995E-3</v>
      </c>
      <c r="L47">
        <v>-5.6400000000000002E-5</v>
      </c>
    </row>
    <row r="48" spans="3:12" x14ac:dyDescent="0.3">
      <c r="C48" s="1" t="s">
        <v>17</v>
      </c>
      <c r="D48" s="1">
        <v>19.6858</v>
      </c>
      <c r="E48" s="1">
        <v>48.844700000000003</v>
      </c>
      <c r="F48" s="1">
        <v>701.47131000000002</v>
      </c>
      <c r="G48" s="1">
        <v>-1.304</v>
      </c>
      <c r="H48" s="1">
        <v>1966</v>
      </c>
      <c r="I48" s="1" t="str">
        <f t="shared" si="0"/>
        <v>ACPS</v>
      </c>
      <c r="J48">
        <v>-1.7639100000000001E-2</v>
      </c>
      <c r="K48">
        <v>-3.2774233896185001E-2</v>
      </c>
      <c r="L48">
        <v>-0.5645559</v>
      </c>
    </row>
    <row r="49" spans="3:12" x14ac:dyDescent="0.3">
      <c r="C49" s="1" t="s">
        <v>17</v>
      </c>
      <c r="D49" s="1">
        <v>2.0886</v>
      </c>
      <c r="E49" s="1">
        <v>46.670499999999898</v>
      </c>
      <c r="F49" s="1">
        <v>264.83069</v>
      </c>
      <c r="G49" s="1">
        <v>-0.86199999999999999</v>
      </c>
      <c r="H49" s="1">
        <v>1914</v>
      </c>
      <c r="I49" s="1" t="str">
        <f t="shared" si="0"/>
        <v>ACPS</v>
      </c>
      <c r="J49">
        <v>1.49062E-2</v>
      </c>
      <c r="K49">
        <v>3.8769856160100001E-2</v>
      </c>
      <c r="L49">
        <v>-0.25414009999999998</v>
      </c>
    </row>
    <row r="50" spans="3:12" x14ac:dyDescent="0.3">
      <c r="C50" s="1" t="s">
        <v>17</v>
      </c>
      <c r="D50" s="1">
        <v>13.4633</v>
      </c>
      <c r="E50" s="1">
        <v>48.921500000000002</v>
      </c>
      <c r="F50" s="1">
        <v>869.87121999999999</v>
      </c>
      <c r="G50" s="1">
        <v>-0.46899999999999997</v>
      </c>
      <c r="H50" s="1">
        <v>1902</v>
      </c>
      <c r="I50" s="1" t="str">
        <f t="shared" si="0"/>
        <v>ACPS</v>
      </c>
      <c r="J50">
        <v>2.1232E-3</v>
      </c>
      <c r="K50">
        <v>-5.7588805503439998E-2</v>
      </c>
      <c r="L50">
        <v>-0.5666291</v>
      </c>
    </row>
    <row r="51" spans="3:12" x14ac:dyDescent="0.3">
      <c r="C51" s="1" t="s">
        <v>17</v>
      </c>
      <c r="D51" s="1">
        <v>19.6858</v>
      </c>
      <c r="E51" s="1">
        <v>48.844700000000003</v>
      </c>
      <c r="F51" s="1">
        <v>701.47131000000002</v>
      </c>
      <c r="G51" s="1">
        <v>-0.223</v>
      </c>
      <c r="H51" s="1">
        <v>1966</v>
      </c>
      <c r="I51" s="1" t="str">
        <f t="shared" si="0"/>
        <v>ACPS</v>
      </c>
      <c r="J51">
        <v>-1.7639100000000001E-2</v>
      </c>
      <c r="K51">
        <v>-3.2774233896185001E-2</v>
      </c>
      <c r="L51">
        <v>-0.5645559</v>
      </c>
    </row>
    <row r="52" spans="3:12" x14ac:dyDescent="0.3">
      <c r="C52" s="1" t="s">
        <v>17</v>
      </c>
      <c r="D52" s="1">
        <v>19.6858</v>
      </c>
      <c r="E52" s="1">
        <v>48.844700000000003</v>
      </c>
      <c r="F52" s="1">
        <v>701.47131000000002</v>
      </c>
      <c r="G52" s="1">
        <v>7.1999999999999995E-2</v>
      </c>
      <c r="H52" s="1">
        <v>1966</v>
      </c>
      <c r="I52" s="1" t="str">
        <f t="shared" si="0"/>
        <v>ACPS</v>
      </c>
      <c r="J52">
        <v>-1.7639100000000001E-2</v>
      </c>
      <c r="K52">
        <v>-3.2774233896185001E-2</v>
      </c>
      <c r="L52">
        <v>-0.5645559</v>
      </c>
    </row>
    <row r="53" spans="3:12" x14ac:dyDescent="0.3">
      <c r="C53" s="1" t="s">
        <v>17</v>
      </c>
      <c r="D53" s="1">
        <v>2.0886</v>
      </c>
      <c r="E53" s="1">
        <v>46.670499999999898</v>
      </c>
      <c r="F53" s="1">
        <v>264.83069</v>
      </c>
      <c r="G53" s="1">
        <v>0.124</v>
      </c>
      <c r="H53" s="1">
        <v>1914</v>
      </c>
      <c r="I53" s="1" t="str">
        <f t="shared" si="0"/>
        <v>ACPS</v>
      </c>
      <c r="J53">
        <v>1.49062E-2</v>
      </c>
      <c r="K53">
        <v>3.8769856160100001E-2</v>
      </c>
      <c r="L53">
        <v>-0.25414009999999998</v>
      </c>
    </row>
    <row r="54" spans="3:12" x14ac:dyDescent="0.3">
      <c r="C54" s="1" t="s">
        <v>17</v>
      </c>
      <c r="D54" s="1">
        <v>2.0886</v>
      </c>
      <c r="E54" s="1">
        <v>46.670499999999898</v>
      </c>
      <c r="F54" s="1">
        <v>264.83069</v>
      </c>
      <c r="G54" s="1">
        <v>1.2829999999999999</v>
      </c>
      <c r="H54" s="1">
        <v>1914</v>
      </c>
      <c r="I54" s="1" t="str">
        <f t="shared" si="0"/>
        <v>ACPS</v>
      </c>
      <c r="J54">
        <v>1.49062E-2</v>
      </c>
      <c r="K54">
        <v>3.8769856160100001E-2</v>
      </c>
      <c r="L54">
        <v>-0.25414009999999998</v>
      </c>
    </row>
    <row r="55" spans="3:12" x14ac:dyDescent="0.3">
      <c r="C55" s="1" t="s">
        <v>17</v>
      </c>
      <c r="D55" s="1">
        <v>5.3539166666666702</v>
      </c>
      <c r="E55" s="1">
        <v>45.007733333333299</v>
      </c>
      <c r="F55" s="1">
        <v>761.62267999999995</v>
      </c>
      <c r="G55" s="1">
        <v>2.66</v>
      </c>
      <c r="H55" s="1">
        <v>1905</v>
      </c>
      <c r="I55" s="1" t="str">
        <f t="shared" si="0"/>
        <v>ACPS</v>
      </c>
      <c r="J55">
        <v>1.3298900000000001E-2</v>
      </c>
      <c r="K55">
        <v>-1.2570981863665001E-2</v>
      </c>
      <c r="L55">
        <v>-0.61279859999999997</v>
      </c>
    </row>
    <row r="56" spans="3:12" x14ac:dyDescent="0.3">
      <c r="C56" s="1" t="s">
        <v>17</v>
      </c>
      <c r="D56" s="1">
        <v>7.0965499999999997</v>
      </c>
      <c r="E56" s="1">
        <v>43.006549999999997</v>
      </c>
      <c r="F56" s="1" t="s">
        <v>112</v>
      </c>
      <c r="G56" s="1">
        <v>4.8570000000000002</v>
      </c>
      <c r="H56" s="1">
        <v>1981</v>
      </c>
      <c r="I56" s="1" t="str">
        <f t="shared" si="0"/>
        <v>ACPS</v>
      </c>
      <c r="J56" t="s">
        <v>112</v>
      </c>
      <c r="K56" t="s">
        <v>112</v>
      </c>
      <c r="L56" t="s">
        <v>112</v>
      </c>
    </row>
    <row r="57" spans="3:12" x14ac:dyDescent="0.3">
      <c r="C57" s="1" t="s">
        <v>17</v>
      </c>
      <c r="D57" s="1">
        <v>10.8605</v>
      </c>
      <c r="E57" s="1">
        <v>45.7196</v>
      </c>
      <c r="F57" s="1">
        <v>1367.8629000000001</v>
      </c>
      <c r="G57" s="1">
        <v>6.1040000000000001</v>
      </c>
      <c r="H57" s="1">
        <v>1989</v>
      </c>
      <c r="I57" s="1" t="str">
        <f t="shared" si="0"/>
        <v>ACPS</v>
      </c>
      <c r="J57">
        <v>5.4095999999999997E-3</v>
      </c>
      <c r="K57">
        <v>-8.6163227016889995E-3</v>
      </c>
      <c r="L57">
        <v>-5.6400000000000002E-5</v>
      </c>
    </row>
    <row r="58" spans="3:12" x14ac:dyDescent="0.3">
      <c r="C58" s="1" t="s">
        <v>18</v>
      </c>
      <c r="D58" s="1">
        <v>-71.156700000000001</v>
      </c>
      <c r="E58" s="1">
        <v>45.460099999999898</v>
      </c>
      <c r="F58" s="1">
        <v>901.67474000000004</v>
      </c>
      <c r="G58" s="1">
        <v>-7.0000000000000007E-2</v>
      </c>
      <c r="H58" s="1">
        <v>1970</v>
      </c>
      <c r="I58" s="1" t="str">
        <f t="shared" si="0"/>
        <v>ACRU</v>
      </c>
      <c r="J58">
        <v>6.8230000000000001E-3</v>
      </c>
      <c r="K58">
        <v>1.2881801125703999E-2</v>
      </c>
      <c r="L58">
        <v>0.35348039999999997</v>
      </c>
    </row>
    <row r="59" spans="3:12" x14ac:dyDescent="0.3">
      <c r="C59" s="1" t="s">
        <v>19</v>
      </c>
      <c r="D59" s="1">
        <v>-71.156700000000001</v>
      </c>
      <c r="E59" s="1">
        <v>45.460099999999898</v>
      </c>
      <c r="F59" s="1">
        <v>901.67474000000004</v>
      </c>
      <c r="G59" s="1">
        <v>7.0000000000000007E-2</v>
      </c>
      <c r="H59" s="1">
        <v>1970</v>
      </c>
      <c r="I59" s="1" t="str">
        <f t="shared" si="0"/>
        <v>ACSA</v>
      </c>
      <c r="J59">
        <v>6.8230000000000001E-3</v>
      </c>
      <c r="K59">
        <v>1.2881801125703999E-2</v>
      </c>
      <c r="L59">
        <v>0.35348039999999997</v>
      </c>
    </row>
    <row r="60" spans="3:12" x14ac:dyDescent="0.3">
      <c r="C60" s="1" t="s">
        <v>14</v>
      </c>
      <c r="D60" s="1">
        <v>10.0448</v>
      </c>
      <c r="E60" s="1">
        <v>46.602699999999899</v>
      </c>
      <c r="F60" s="1">
        <v>1978.8960999999999</v>
      </c>
      <c r="G60" s="1">
        <v>-0.14799999999999999</v>
      </c>
      <c r="H60" s="1">
        <v>1912</v>
      </c>
      <c r="I60" s="1" t="str">
        <f t="shared" si="0"/>
        <v>ACMO</v>
      </c>
      <c r="J60">
        <v>1.1554099999999999E-2</v>
      </c>
      <c r="K60">
        <v>1.3260162601626E-2</v>
      </c>
      <c r="L60">
        <v>-0.16215450000000001</v>
      </c>
    </row>
    <row r="61" spans="3:12" x14ac:dyDescent="0.3">
      <c r="C61" s="1" t="s">
        <v>11</v>
      </c>
      <c r="D61" s="1">
        <v>10.8605</v>
      </c>
      <c r="E61" s="1">
        <v>45.7196</v>
      </c>
      <c r="F61" s="1">
        <v>1367.8629000000001</v>
      </c>
      <c r="G61" s="1">
        <v>4.3259999999999996</v>
      </c>
      <c r="H61" s="1">
        <v>1989</v>
      </c>
      <c r="I61" s="1" t="str">
        <f t="shared" si="0"/>
        <v>ACCA</v>
      </c>
      <c r="J61">
        <v>5.4095999999999997E-3</v>
      </c>
      <c r="K61">
        <v>-8.6163227016889995E-3</v>
      </c>
      <c r="L61">
        <v>-5.6400000000000002E-5</v>
      </c>
    </row>
    <row r="62" spans="3:12" x14ac:dyDescent="0.3">
      <c r="C62" s="1" t="s">
        <v>12</v>
      </c>
      <c r="D62" s="1">
        <v>-119.4324</v>
      </c>
      <c r="E62" s="1">
        <v>37.261499999999899</v>
      </c>
      <c r="F62" s="1">
        <v>1792.5378000000001</v>
      </c>
      <c r="G62" s="1">
        <v>3.65</v>
      </c>
      <c r="H62" s="1">
        <v>1895</v>
      </c>
      <c r="I62" s="1" t="str">
        <f t="shared" si="0"/>
        <v>ACNE</v>
      </c>
      <c r="J62">
        <v>1.62414E-2</v>
      </c>
      <c r="K62">
        <v>-8.2698561601E-3</v>
      </c>
      <c r="L62">
        <v>2.8980599999999999E-2</v>
      </c>
    </row>
    <row r="63" spans="3:12" x14ac:dyDescent="0.3">
      <c r="C63" s="1" t="s">
        <v>14</v>
      </c>
      <c r="D63" s="1">
        <v>-119.4324</v>
      </c>
      <c r="E63" s="1">
        <v>37.261499999999899</v>
      </c>
      <c r="F63" s="1">
        <v>1792.5378000000001</v>
      </c>
      <c r="G63" s="1">
        <v>-1.1240000000000001</v>
      </c>
      <c r="H63" s="1">
        <v>1895</v>
      </c>
      <c r="I63" s="1" t="str">
        <f t="shared" si="0"/>
        <v>ACMO</v>
      </c>
      <c r="J63">
        <v>1.62414E-2</v>
      </c>
      <c r="K63">
        <v>-8.2698561601E-3</v>
      </c>
      <c r="L63">
        <v>2.8980599999999999E-2</v>
      </c>
    </row>
    <row r="64" spans="3:12" x14ac:dyDescent="0.3">
      <c r="C64" s="1" t="s">
        <v>10</v>
      </c>
      <c r="D64" s="1">
        <v>-119.4324</v>
      </c>
      <c r="E64" s="1">
        <v>37.261499999999899</v>
      </c>
      <c r="F64" s="1">
        <v>1792.5378000000001</v>
      </c>
      <c r="G64" s="1">
        <v>0.78100000000000003</v>
      </c>
      <c r="H64" s="1">
        <v>1895</v>
      </c>
      <c r="I64" s="1" t="str">
        <f t="shared" si="0"/>
        <v>ACDE</v>
      </c>
      <c r="J64">
        <v>1.62414E-2</v>
      </c>
      <c r="K64">
        <v>-8.2698561601E-3</v>
      </c>
      <c r="L64">
        <v>2.8980599999999999E-2</v>
      </c>
    </row>
    <row r="65" spans="3:12" x14ac:dyDescent="0.3">
      <c r="C65" s="1" t="s">
        <v>10</v>
      </c>
      <c r="D65" s="1">
        <v>-119.4324</v>
      </c>
      <c r="E65" s="1">
        <v>37.261499999999899</v>
      </c>
      <c r="F65" s="1">
        <v>1792.5378000000001</v>
      </c>
      <c r="G65" s="1">
        <v>0.42699999999999999</v>
      </c>
      <c r="H65" s="1">
        <v>1895</v>
      </c>
      <c r="I65" s="1" t="str">
        <f t="shared" si="0"/>
        <v>ACDE</v>
      </c>
      <c r="J65">
        <v>1.62414E-2</v>
      </c>
      <c r="K65">
        <v>-8.2698561601E-3</v>
      </c>
      <c r="L65">
        <v>2.8980599999999999E-2</v>
      </c>
    </row>
    <row r="66" spans="3:12" x14ac:dyDescent="0.3">
      <c r="C66" s="1" t="s">
        <v>13</v>
      </c>
      <c r="D66" s="1">
        <v>-119.4324</v>
      </c>
      <c r="E66" s="1">
        <v>37.261499999999899</v>
      </c>
      <c r="F66" s="1">
        <v>1792.5378000000001</v>
      </c>
      <c r="G66" s="1">
        <v>-0.74399999999999999</v>
      </c>
      <c r="H66" s="1">
        <v>1895</v>
      </c>
      <c r="I66" s="1" t="str">
        <f t="shared" si="0"/>
        <v>ACGL</v>
      </c>
      <c r="J66">
        <v>1.62414E-2</v>
      </c>
      <c r="K66">
        <v>-8.2698561601E-3</v>
      </c>
      <c r="L66">
        <v>2.8980599999999999E-2</v>
      </c>
    </row>
    <row r="67" spans="3:12" x14ac:dyDescent="0.3">
      <c r="C67" s="1" t="s">
        <v>13</v>
      </c>
      <c r="D67" s="1">
        <v>-119.4324</v>
      </c>
      <c r="E67" s="1">
        <v>37.261499999999899</v>
      </c>
      <c r="F67" s="1">
        <v>1792.5378000000001</v>
      </c>
      <c r="G67" s="1">
        <v>3.6999999999999998E-2</v>
      </c>
      <c r="H67" s="1">
        <v>1895</v>
      </c>
      <c r="I67" s="1" t="str">
        <f t="shared" ref="I67:I130" si="1">RIGHT(LEFT(C67,5),4)</f>
        <v>ACGL</v>
      </c>
      <c r="J67">
        <v>1.62414E-2</v>
      </c>
      <c r="K67">
        <v>-8.2698561601E-3</v>
      </c>
      <c r="L67">
        <v>2.8980599999999999E-2</v>
      </c>
    </row>
    <row r="68" spans="3:12" x14ac:dyDescent="0.3">
      <c r="C68" s="1" t="s">
        <v>13</v>
      </c>
      <c r="D68" s="1">
        <v>-119.4324</v>
      </c>
      <c r="E68" s="1">
        <v>37.261499999999899</v>
      </c>
      <c r="F68" s="1">
        <v>1792.5378000000001</v>
      </c>
      <c r="G68" s="1">
        <v>2.206</v>
      </c>
      <c r="H68" s="1">
        <v>1895</v>
      </c>
      <c r="I68" s="1" t="str">
        <f t="shared" si="1"/>
        <v>ACGL</v>
      </c>
      <c r="J68">
        <v>1.62414E-2</v>
      </c>
      <c r="K68">
        <v>-8.2698561601E-3</v>
      </c>
      <c r="L68">
        <v>2.8980599999999999E-2</v>
      </c>
    </row>
    <row r="69" spans="3:12" x14ac:dyDescent="0.3">
      <c r="C69" s="1" t="s">
        <v>12</v>
      </c>
      <c r="D69" s="1">
        <v>-119.4324</v>
      </c>
      <c r="E69" s="1">
        <v>37.261499999999899</v>
      </c>
      <c r="F69" s="1">
        <v>1792.5378000000001</v>
      </c>
      <c r="G69" s="1">
        <v>-0.67500000000000004</v>
      </c>
      <c r="H69" s="1">
        <v>1895</v>
      </c>
      <c r="I69" s="1" t="str">
        <f t="shared" si="1"/>
        <v>ACNE</v>
      </c>
      <c r="J69">
        <v>1.62414E-2</v>
      </c>
      <c r="K69">
        <v>-8.2698561601E-3</v>
      </c>
      <c r="L69">
        <v>2.8980599999999999E-2</v>
      </c>
    </row>
    <row r="70" spans="3:12" x14ac:dyDescent="0.3">
      <c r="C70" s="1" t="s">
        <v>12</v>
      </c>
      <c r="D70" s="1">
        <v>-119.4324</v>
      </c>
      <c r="E70" s="1">
        <v>37.261499999999899</v>
      </c>
      <c r="F70" s="1">
        <v>1792.5378000000001</v>
      </c>
      <c r="G70" s="1">
        <v>0.45100000000000001</v>
      </c>
      <c r="H70" s="1">
        <v>1895</v>
      </c>
      <c r="I70" s="1" t="str">
        <f t="shared" si="1"/>
        <v>ACNE</v>
      </c>
      <c r="J70">
        <v>1.62414E-2</v>
      </c>
      <c r="K70">
        <v>-8.2698561601E-3</v>
      </c>
      <c r="L70">
        <v>2.8980599999999999E-2</v>
      </c>
    </row>
    <row r="71" spans="3:12" x14ac:dyDescent="0.3">
      <c r="C71" s="1" t="s">
        <v>12</v>
      </c>
      <c r="D71" s="1">
        <v>-119.4324</v>
      </c>
      <c r="E71" s="1">
        <v>37.261499999999899</v>
      </c>
      <c r="F71" s="1">
        <v>1792.5378000000001</v>
      </c>
      <c r="G71" s="1">
        <v>4.0529999999999999</v>
      </c>
      <c r="H71" s="1">
        <v>1895</v>
      </c>
      <c r="I71" s="1" t="str">
        <f t="shared" si="1"/>
        <v>ACNE</v>
      </c>
      <c r="J71">
        <v>1.62414E-2</v>
      </c>
      <c r="K71">
        <v>-8.2698561601E-3</v>
      </c>
      <c r="L71">
        <v>2.8980599999999999E-2</v>
      </c>
    </row>
    <row r="72" spans="3:12" x14ac:dyDescent="0.3">
      <c r="C72" s="1" t="s">
        <v>10</v>
      </c>
      <c r="D72" s="1">
        <v>10.8605</v>
      </c>
      <c r="E72" s="1">
        <v>45.7196</v>
      </c>
      <c r="F72" s="1">
        <v>1367.8629000000001</v>
      </c>
      <c r="G72" s="1">
        <v>40.085999999999999</v>
      </c>
      <c r="H72" s="1">
        <v>1989</v>
      </c>
      <c r="I72" s="1" t="str">
        <f t="shared" si="1"/>
        <v>ACDE</v>
      </c>
      <c r="J72">
        <v>5.4095999999999997E-3</v>
      </c>
      <c r="K72">
        <v>-8.6163227016889995E-3</v>
      </c>
      <c r="L72">
        <v>-5.6400000000000002E-5</v>
      </c>
    </row>
    <row r="73" spans="3:12" x14ac:dyDescent="0.3">
      <c r="C73" s="1" t="s">
        <v>18</v>
      </c>
      <c r="D73" s="1">
        <v>-119.4324</v>
      </c>
      <c r="E73" s="1">
        <v>37.261499999999899</v>
      </c>
      <c r="F73" s="1">
        <v>1792.5378000000001</v>
      </c>
      <c r="G73" s="1">
        <v>3.294</v>
      </c>
      <c r="H73" s="1">
        <v>1895</v>
      </c>
      <c r="I73" s="1" t="str">
        <f t="shared" si="1"/>
        <v>ACRU</v>
      </c>
      <c r="J73">
        <v>1.62414E-2</v>
      </c>
      <c r="K73">
        <v>-8.2698561601E-3</v>
      </c>
      <c r="L73">
        <v>2.8980599999999999E-2</v>
      </c>
    </row>
    <row r="74" spans="3:12" x14ac:dyDescent="0.3">
      <c r="C74" s="1" t="s">
        <v>20</v>
      </c>
      <c r="D74" s="1">
        <v>-119.4324</v>
      </c>
      <c r="E74" s="1">
        <v>37.261499999999899</v>
      </c>
      <c r="F74" s="1">
        <v>1792.5378000000001</v>
      </c>
      <c r="G74" s="1">
        <v>-0.96599999999999997</v>
      </c>
      <c r="H74" s="1">
        <v>1895</v>
      </c>
      <c r="I74" s="1" t="str">
        <f t="shared" si="1"/>
        <v>ADFA</v>
      </c>
      <c r="J74">
        <v>1.62414E-2</v>
      </c>
      <c r="K74">
        <v>-8.2698561601E-3</v>
      </c>
      <c r="L74">
        <v>2.8980599999999999E-2</v>
      </c>
    </row>
    <row r="75" spans="3:12" x14ac:dyDescent="0.3">
      <c r="C75" s="1" t="s">
        <v>20</v>
      </c>
      <c r="D75" s="1">
        <v>-121.3335</v>
      </c>
      <c r="E75" s="1">
        <v>38.500700000000002</v>
      </c>
      <c r="F75" s="1">
        <v>17.796066</v>
      </c>
      <c r="G75" s="1">
        <v>-0.182</v>
      </c>
      <c r="H75" s="1">
        <v>1930</v>
      </c>
      <c r="I75" s="1" t="str">
        <f t="shared" si="1"/>
        <v>ADFA</v>
      </c>
      <c r="J75">
        <v>7.2951999999999999E-3</v>
      </c>
      <c r="K75">
        <v>4.4734208880549998E-3</v>
      </c>
      <c r="L75">
        <v>3.0206E-3</v>
      </c>
    </row>
    <row r="76" spans="3:12" x14ac:dyDescent="0.3">
      <c r="C76" s="1" t="s">
        <v>20</v>
      </c>
      <c r="D76" s="1">
        <v>-119.4324</v>
      </c>
      <c r="E76" s="1">
        <v>37.261499999999899</v>
      </c>
      <c r="F76" s="1">
        <v>1792.5378000000001</v>
      </c>
      <c r="G76" s="1">
        <v>2.8639999999999999</v>
      </c>
      <c r="H76" s="1">
        <v>1895</v>
      </c>
      <c r="I76" s="1" t="str">
        <f t="shared" si="1"/>
        <v>ADFA</v>
      </c>
      <c r="J76">
        <v>1.62414E-2</v>
      </c>
      <c r="K76">
        <v>-8.2698561601E-3</v>
      </c>
      <c r="L76">
        <v>2.8980599999999999E-2</v>
      </c>
    </row>
    <row r="77" spans="3:12" x14ac:dyDescent="0.3">
      <c r="C77" s="1" t="s">
        <v>21</v>
      </c>
      <c r="D77" s="1">
        <v>-119.4324</v>
      </c>
      <c r="E77" s="1">
        <v>37.261499999999899</v>
      </c>
      <c r="F77" s="1">
        <v>1792.5378000000001</v>
      </c>
      <c r="G77" s="1">
        <v>-1.544</v>
      </c>
      <c r="H77" s="1">
        <v>1895</v>
      </c>
      <c r="I77" s="1" t="str">
        <f t="shared" si="1"/>
        <v>ADSP</v>
      </c>
      <c r="J77">
        <v>1.62414E-2</v>
      </c>
      <c r="K77">
        <v>-8.2698561601E-3</v>
      </c>
      <c r="L77">
        <v>2.8980599999999999E-2</v>
      </c>
    </row>
    <row r="78" spans="3:12" x14ac:dyDescent="0.3">
      <c r="C78" s="1" t="s">
        <v>22</v>
      </c>
      <c r="D78" s="1">
        <v>10.8605</v>
      </c>
      <c r="E78" s="1">
        <v>45.7196</v>
      </c>
      <c r="F78" s="1">
        <v>1367.8629000000001</v>
      </c>
      <c r="G78" s="1">
        <v>10.298</v>
      </c>
      <c r="H78" s="1">
        <v>1989</v>
      </c>
      <c r="I78" s="1" t="str">
        <f t="shared" si="1"/>
        <v>ALGL</v>
      </c>
      <c r="J78">
        <v>5.4095999999999997E-3</v>
      </c>
      <c r="K78">
        <v>-8.6163227016889995E-3</v>
      </c>
      <c r="L78">
        <v>-5.6400000000000002E-5</v>
      </c>
    </row>
    <row r="79" spans="3:12" x14ac:dyDescent="0.3">
      <c r="C79" s="1" t="s">
        <v>22</v>
      </c>
      <c r="D79" s="1">
        <v>10.8605</v>
      </c>
      <c r="E79" s="1">
        <v>45.7196</v>
      </c>
      <c r="F79" s="1">
        <v>1367.8629000000001</v>
      </c>
      <c r="G79" s="1">
        <v>-2.117</v>
      </c>
      <c r="H79" s="1">
        <v>1989</v>
      </c>
      <c r="I79" s="1" t="str">
        <f t="shared" si="1"/>
        <v>ALGL</v>
      </c>
      <c r="J79">
        <v>5.4095999999999997E-3</v>
      </c>
      <c r="K79">
        <v>-8.6163227016889995E-3</v>
      </c>
      <c r="L79">
        <v>-5.6400000000000002E-5</v>
      </c>
    </row>
    <row r="80" spans="3:12" x14ac:dyDescent="0.3">
      <c r="C80" s="1" t="s">
        <v>23</v>
      </c>
      <c r="D80" s="1">
        <v>-119.4324</v>
      </c>
      <c r="E80" s="1">
        <v>37.261499999999899</v>
      </c>
      <c r="F80" s="1">
        <v>1792.5378000000001</v>
      </c>
      <c r="G80" s="1">
        <v>-0.33700000000000002</v>
      </c>
      <c r="H80" s="1">
        <v>1895</v>
      </c>
      <c r="I80" s="1" t="str">
        <f t="shared" si="1"/>
        <v>ALIN</v>
      </c>
      <c r="J80">
        <v>1.62414E-2</v>
      </c>
      <c r="K80">
        <v>-8.2698561601E-3</v>
      </c>
      <c r="L80">
        <v>2.8980599999999999E-2</v>
      </c>
    </row>
    <row r="81" spans="3:12" x14ac:dyDescent="0.3">
      <c r="C81" s="1" t="s">
        <v>23</v>
      </c>
      <c r="D81" s="1">
        <v>-119.4324</v>
      </c>
      <c r="E81" s="1">
        <v>37.261499999999899</v>
      </c>
      <c r="F81" s="1">
        <v>1792.5378000000001</v>
      </c>
      <c r="G81" s="1">
        <v>0.71299999999999997</v>
      </c>
      <c r="H81" s="1">
        <v>1895</v>
      </c>
      <c r="I81" s="1" t="str">
        <f t="shared" si="1"/>
        <v>ALIN</v>
      </c>
      <c r="J81">
        <v>1.62414E-2</v>
      </c>
      <c r="K81">
        <v>-8.2698561601E-3</v>
      </c>
      <c r="L81">
        <v>2.8980599999999999E-2</v>
      </c>
    </row>
    <row r="82" spans="3:12" x14ac:dyDescent="0.3">
      <c r="C82" s="1" t="s">
        <v>22</v>
      </c>
      <c r="D82" s="1">
        <v>-119.4324</v>
      </c>
      <c r="E82" s="1">
        <v>37.261499999999899</v>
      </c>
      <c r="F82" s="1">
        <v>1792.5378000000001</v>
      </c>
      <c r="G82" s="1">
        <v>-0.307</v>
      </c>
      <c r="H82" s="1">
        <v>1895</v>
      </c>
      <c r="I82" s="1" t="str">
        <f t="shared" si="1"/>
        <v>ALGL</v>
      </c>
      <c r="J82">
        <v>1.62414E-2</v>
      </c>
      <c r="K82">
        <v>-8.2698561601E-3</v>
      </c>
      <c r="L82">
        <v>2.8980599999999999E-2</v>
      </c>
    </row>
    <row r="83" spans="3:12" x14ac:dyDescent="0.3">
      <c r="C83" s="1" t="s">
        <v>23</v>
      </c>
      <c r="D83" s="1">
        <v>-119.4324</v>
      </c>
      <c r="E83" s="1">
        <v>37.261499999999899</v>
      </c>
      <c r="F83" s="1">
        <v>1792.5378000000001</v>
      </c>
      <c r="G83" s="1">
        <v>1.157</v>
      </c>
      <c r="H83" s="1">
        <v>1895</v>
      </c>
      <c r="I83" s="1" t="str">
        <f t="shared" si="1"/>
        <v>ALIN</v>
      </c>
      <c r="J83">
        <v>1.62414E-2</v>
      </c>
      <c r="K83">
        <v>-8.2698561601E-3</v>
      </c>
      <c r="L83">
        <v>2.8980599999999999E-2</v>
      </c>
    </row>
    <row r="84" spans="3:12" x14ac:dyDescent="0.3">
      <c r="C84" s="1" t="s">
        <v>22</v>
      </c>
      <c r="D84" s="1">
        <v>13.4633</v>
      </c>
      <c r="E84" s="1">
        <v>48.921500000000002</v>
      </c>
      <c r="F84" s="1">
        <v>869.87121999999999</v>
      </c>
      <c r="G84" s="1">
        <v>0.76600000000000001</v>
      </c>
      <c r="H84" s="1">
        <v>1902</v>
      </c>
      <c r="I84" s="1" t="str">
        <f t="shared" si="1"/>
        <v>ALGL</v>
      </c>
      <c r="J84">
        <v>2.1232E-3</v>
      </c>
      <c r="K84">
        <v>-5.7588805503439998E-2</v>
      </c>
      <c r="L84">
        <v>-0.5666291</v>
      </c>
    </row>
    <row r="85" spans="3:12" x14ac:dyDescent="0.3">
      <c r="C85" s="1" t="s">
        <v>22</v>
      </c>
      <c r="D85" s="1">
        <v>10.8605</v>
      </c>
      <c r="E85" s="1">
        <v>45.7196</v>
      </c>
      <c r="F85" s="1">
        <v>1367.8629000000001</v>
      </c>
      <c r="G85" s="1">
        <v>4.8259999999999996</v>
      </c>
      <c r="H85" s="1">
        <v>1989</v>
      </c>
      <c r="I85" s="1" t="str">
        <f t="shared" si="1"/>
        <v>ALGL</v>
      </c>
      <c r="J85">
        <v>5.4095999999999997E-3</v>
      </c>
      <c r="K85">
        <v>-8.6163227016889995E-3</v>
      </c>
      <c r="L85">
        <v>-5.6400000000000002E-5</v>
      </c>
    </row>
    <row r="86" spans="3:12" x14ac:dyDescent="0.3">
      <c r="C86" s="1" t="s">
        <v>23</v>
      </c>
      <c r="D86" s="1">
        <v>-119.4324</v>
      </c>
      <c r="E86" s="1">
        <v>37.261499999999899</v>
      </c>
      <c r="F86" s="1">
        <v>1792.5378000000001</v>
      </c>
      <c r="G86" s="1">
        <v>4.4390000000000001</v>
      </c>
      <c r="H86" s="1">
        <v>1895</v>
      </c>
      <c r="I86" s="1" t="str">
        <f t="shared" si="1"/>
        <v>ALIN</v>
      </c>
      <c r="J86">
        <v>1.62414E-2</v>
      </c>
      <c r="K86">
        <v>-8.2698561601E-3</v>
      </c>
      <c r="L86">
        <v>2.8980599999999999E-2</v>
      </c>
    </row>
    <row r="87" spans="3:12" x14ac:dyDescent="0.3">
      <c r="C87" s="1" t="s">
        <v>23</v>
      </c>
      <c r="D87" s="1">
        <v>10.8605</v>
      </c>
      <c r="E87" s="1">
        <v>45.7196</v>
      </c>
      <c r="F87" s="1">
        <v>1367.8629000000001</v>
      </c>
      <c r="G87" s="1">
        <v>7.28</v>
      </c>
      <c r="H87" s="1">
        <v>1989</v>
      </c>
      <c r="I87" s="1" t="str">
        <f t="shared" si="1"/>
        <v>ALIN</v>
      </c>
      <c r="J87">
        <v>5.4095999999999997E-3</v>
      </c>
      <c r="K87">
        <v>-8.6163227016889995E-3</v>
      </c>
      <c r="L87">
        <v>-5.6400000000000002E-5</v>
      </c>
    </row>
    <row r="88" spans="3:12" x14ac:dyDescent="0.3">
      <c r="C88" s="1" t="s">
        <v>24</v>
      </c>
      <c r="D88" s="1">
        <v>-119.4324</v>
      </c>
      <c r="E88" s="1">
        <v>37.261499999999899</v>
      </c>
      <c r="F88" s="1">
        <v>1792.5378000000001</v>
      </c>
      <c r="G88" s="1">
        <v>-1.8420000000000001</v>
      </c>
      <c r="H88" s="1">
        <v>1895</v>
      </c>
      <c r="I88" s="1" t="str">
        <f t="shared" si="1"/>
        <v>ALRH</v>
      </c>
      <c r="J88">
        <v>1.62414E-2</v>
      </c>
      <c r="K88">
        <v>-8.2698561601E-3</v>
      </c>
      <c r="L88">
        <v>2.8980599999999999E-2</v>
      </c>
    </row>
    <row r="89" spans="3:12" x14ac:dyDescent="0.3">
      <c r="C89" s="1" t="s">
        <v>25</v>
      </c>
      <c r="D89" s="1">
        <v>-119.4324</v>
      </c>
      <c r="E89" s="1">
        <v>37.261499999999899</v>
      </c>
      <c r="F89" s="1">
        <v>1792.5378000000001</v>
      </c>
      <c r="G89" s="1">
        <v>2.367</v>
      </c>
      <c r="H89" s="1">
        <v>1895</v>
      </c>
      <c r="I89" s="1" t="str">
        <f t="shared" si="1"/>
        <v>ALRU</v>
      </c>
      <c r="J89">
        <v>1.62414E-2</v>
      </c>
      <c r="K89">
        <v>-8.2698561601E-3</v>
      </c>
      <c r="L89">
        <v>2.8980599999999999E-2</v>
      </c>
    </row>
    <row r="90" spans="3:12" x14ac:dyDescent="0.3">
      <c r="C90" s="1" t="s">
        <v>26</v>
      </c>
      <c r="D90" s="1">
        <v>-119.4324</v>
      </c>
      <c r="E90" s="1">
        <v>37.261499999999899</v>
      </c>
      <c r="F90" s="1">
        <v>1792.5378000000001</v>
      </c>
      <c r="G90" s="1">
        <v>0.249</v>
      </c>
      <c r="H90" s="1">
        <v>1895</v>
      </c>
      <c r="I90" s="1" t="str">
        <f t="shared" si="1"/>
        <v>BEPE</v>
      </c>
      <c r="J90">
        <v>1.62414E-2</v>
      </c>
      <c r="K90">
        <v>-8.2698561601E-3</v>
      </c>
      <c r="L90">
        <v>2.8980599999999999E-2</v>
      </c>
    </row>
    <row r="91" spans="3:12" x14ac:dyDescent="0.3">
      <c r="C91" s="1" t="s">
        <v>26</v>
      </c>
      <c r="D91" s="1">
        <v>10.8605</v>
      </c>
      <c r="E91" s="1">
        <v>45.7196</v>
      </c>
      <c r="F91" s="1">
        <v>1367.8629000000001</v>
      </c>
      <c r="G91" s="1">
        <v>0.53100000000000003</v>
      </c>
      <c r="H91" s="1">
        <v>1989</v>
      </c>
      <c r="I91" s="1" t="str">
        <f t="shared" si="1"/>
        <v>BEPE</v>
      </c>
      <c r="J91">
        <v>5.4095999999999997E-3</v>
      </c>
      <c r="K91">
        <v>-8.6163227016889995E-3</v>
      </c>
      <c r="L91">
        <v>-5.6400000000000002E-5</v>
      </c>
    </row>
    <row r="92" spans="3:12" x14ac:dyDescent="0.3">
      <c r="C92" s="1" t="s">
        <v>27</v>
      </c>
      <c r="D92" s="1">
        <v>-119.4324</v>
      </c>
      <c r="E92" s="1">
        <v>37.261499999999899</v>
      </c>
      <c r="F92" s="1">
        <v>1792.5378000000001</v>
      </c>
      <c r="G92" s="1">
        <v>1.7789999999999999</v>
      </c>
      <c r="H92" s="1">
        <v>1895</v>
      </c>
      <c r="I92" s="1" t="str">
        <f t="shared" si="1"/>
        <v>BEOC</v>
      </c>
      <c r="J92">
        <v>1.62414E-2</v>
      </c>
      <c r="K92">
        <v>-8.2698561601E-3</v>
      </c>
      <c r="L92">
        <v>2.8980599999999999E-2</v>
      </c>
    </row>
    <row r="93" spans="3:12" x14ac:dyDescent="0.3">
      <c r="C93" s="1" t="s">
        <v>28</v>
      </c>
      <c r="D93" s="1">
        <v>-71.156700000000001</v>
      </c>
      <c r="E93" s="1">
        <v>45.460099999999898</v>
      </c>
      <c r="F93" s="1">
        <v>901.67474000000004</v>
      </c>
      <c r="G93" s="1">
        <v>1.698</v>
      </c>
      <c r="H93" s="1">
        <v>1970</v>
      </c>
      <c r="I93" s="1" t="str">
        <f t="shared" si="1"/>
        <v>BEPA</v>
      </c>
      <c r="J93">
        <v>6.8230000000000001E-3</v>
      </c>
      <c r="K93">
        <v>1.2881801125703999E-2</v>
      </c>
      <c r="L93">
        <v>0.35348039999999997</v>
      </c>
    </row>
    <row r="94" spans="3:12" x14ac:dyDescent="0.3">
      <c r="C94" s="1" t="s">
        <v>26</v>
      </c>
      <c r="D94" s="1">
        <v>10.8605</v>
      </c>
      <c r="E94" s="1">
        <v>45.7196</v>
      </c>
      <c r="F94" s="1">
        <v>1367.8629000000001</v>
      </c>
      <c r="G94" s="1">
        <v>-0.64400000000000002</v>
      </c>
      <c r="H94" s="1">
        <v>1989</v>
      </c>
      <c r="I94" s="1" t="str">
        <f t="shared" si="1"/>
        <v>BEPE</v>
      </c>
      <c r="J94">
        <v>5.4095999999999997E-3</v>
      </c>
      <c r="K94">
        <v>-8.6163227016889995E-3</v>
      </c>
      <c r="L94">
        <v>-5.6400000000000002E-5</v>
      </c>
    </row>
    <row r="95" spans="3:12" x14ac:dyDescent="0.3">
      <c r="C95" s="1" t="s">
        <v>26</v>
      </c>
      <c r="D95" s="1">
        <v>2.0886</v>
      </c>
      <c r="E95" s="1">
        <v>46.670499999999898</v>
      </c>
      <c r="F95" s="1">
        <v>264.83069</v>
      </c>
      <c r="G95" s="1">
        <v>-0.58599999999999997</v>
      </c>
      <c r="H95" s="1">
        <v>1914</v>
      </c>
      <c r="I95" s="1" t="str">
        <f t="shared" si="1"/>
        <v>BEPE</v>
      </c>
      <c r="J95">
        <v>1.49062E-2</v>
      </c>
      <c r="K95">
        <v>3.8769856160100001E-2</v>
      </c>
      <c r="L95">
        <v>-0.25414009999999998</v>
      </c>
    </row>
    <row r="96" spans="3:12" x14ac:dyDescent="0.3">
      <c r="C96" s="1" t="s">
        <v>26</v>
      </c>
      <c r="D96" s="1">
        <v>2.0886</v>
      </c>
      <c r="E96" s="1">
        <v>46.670499999999898</v>
      </c>
      <c r="F96" s="1">
        <v>264.83069</v>
      </c>
      <c r="G96" s="1">
        <v>-0.14799999999999999</v>
      </c>
      <c r="H96" s="1">
        <v>1914</v>
      </c>
      <c r="I96" s="1" t="str">
        <f t="shared" si="1"/>
        <v>BEPE</v>
      </c>
      <c r="J96">
        <v>1.49062E-2</v>
      </c>
      <c r="K96">
        <v>3.8769856160100001E-2</v>
      </c>
      <c r="L96">
        <v>-0.25414009999999998</v>
      </c>
    </row>
    <row r="97" spans="3:12" x14ac:dyDescent="0.3">
      <c r="C97" s="1" t="s">
        <v>26</v>
      </c>
      <c r="D97" s="1">
        <v>2.0886</v>
      </c>
      <c r="E97" s="1">
        <v>46.670499999999898</v>
      </c>
      <c r="F97" s="1">
        <v>264.83069</v>
      </c>
      <c r="G97" s="1">
        <v>2.069</v>
      </c>
      <c r="H97" s="1">
        <v>1914</v>
      </c>
      <c r="I97" s="1" t="str">
        <f t="shared" si="1"/>
        <v>BEPE</v>
      </c>
      <c r="J97">
        <v>1.49062E-2</v>
      </c>
      <c r="K97">
        <v>3.8769856160100001E-2</v>
      </c>
      <c r="L97">
        <v>-0.25414009999999998</v>
      </c>
    </row>
    <row r="98" spans="3:12" x14ac:dyDescent="0.3">
      <c r="C98" s="1" t="s">
        <v>26</v>
      </c>
      <c r="D98" s="1">
        <v>13.4633</v>
      </c>
      <c r="E98" s="1">
        <v>48.921500000000002</v>
      </c>
      <c r="F98" s="1">
        <v>869.87121999999999</v>
      </c>
      <c r="G98" s="1">
        <v>2.258</v>
      </c>
      <c r="H98" s="1">
        <v>1902</v>
      </c>
      <c r="I98" s="1" t="str">
        <f t="shared" si="1"/>
        <v>BEPE</v>
      </c>
      <c r="J98">
        <v>2.1232E-3</v>
      </c>
      <c r="K98">
        <v>-5.7588805503439998E-2</v>
      </c>
      <c r="L98">
        <v>-0.5666291</v>
      </c>
    </row>
    <row r="99" spans="3:12" x14ac:dyDescent="0.3">
      <c r="C99" s="1" t="s">
        <v>26</v>
      </c>
      <c r="D99" s="1">
        <v>7.0965499999999997</v>
      </c>
      <c r="E99" s="1">
        <v>43.006549999999997</v>
      </c>
      <c r="F99" s="1" t="s">
        <v>112</v>
      </c>
      <c r="G99" s="1">
        <v>7.6429999999999998</v>
      </c>
      <c r="H99" s="1">
        <v>1981</v>
      </c>
      <c r="I99" s="1" t="str">
        <f t="shared" si="1"/>
        <v>BEPE</v>
      </c>
      <c r="J99" t="s">
        <v>112</v>
      </c>
      <c r="K99" t="s">
        <v>112</v>
      </c>
      <c r="L99" t="s">
        <v>112</v>
      </c>
    </row>
    <row r="100" spans="3:12" x14ac:dyDescent="0.3">
      <c r="C100" s="1" t="s">
        <v>29</v>
      </c>
      <c r="D100" s="1">
        <v>-121.3335</v>
      </c>
      <c r="E100" s="1">
        <v>38.500700000000002</v>
      </c>
      <c r="F100" s="1">
        <v>17.796066</v>
      </c>
      <c r="G100" s="1">
        <v>-1.127</v>
      </c>
      <c r="H100" s="1">
        <v>1930</v>
      </c>
      <c r="I100" s="1" t="str">
        <f t="shared" si="1"/>
        <v>CADE</v>
      </c>
      <c r="J100">
        <v>7.2951999999999999E-3</v>
      </c>
      <c r="K100">
        <v>4.4734208880549998E-3</v>
      </c>
      <c r="L100">
        <v>3.0206E-3</v>
      </c>
    </row>
    <row r="101" spans="3:12" x14ac:dyDescent="0.3">
      <c r="C101" s="1" t="s">
        <v>29</v>
      </c>
      <c r="D101" s="1">
        <v>-119.4324</v>
      </c>
      <c r="E101" s="1">
        <v>37.261499999999899</v>
      </c>
      <c r="F101" s="1">
        <v>1792.5378000000001</v>
      </c>
      <c r="G101" s="1">
        <v>-0.72899999999999998</v>
      </c>
      <c r="H101" s="1">
        <v>1895</v>
      </c>
      <c r="I101" s="1" t="str">
        <f t="shared" si="1"/>
        <v>CADE</v>
      </c>
      <c r="J101">
        <v>1.62414E-2</v>
      </c>
      <c r="K101">
        <v>-8.2698561601E-3</v>
      </c>
      <c r="L101">
        <v>2.8980599999999999E-2</v>
      </c>
    </row>
    <row r="102" spans="3:12" x14ac:dyDescent="0.3">
      <c r="C102" s="1" t="s">
        <v>29</v>
      </c>
      <c r="D102" s="1">
        <v>-120.3503</v>
      </c>
      <c r="E102" s="1">
        <v>39.061799999999899</v>
      </c>
      <c r="F102" s="1">
        <v>1967.6869999999999</v>
      </c>
      <c r="G102" s="1">
        <v>0</v>
      </c>
      <c r="H102" s="1">
        <v>1934</v>
      </c>
      <c r="I102" s="1" t="str">
        <f t="shared" si="1"/>
        <v>CADE</v>
      </c>
      <c r="J102">
        <v>1.9990600000000001E-2</v>
      </c>
      <c r="K102">
        <v>-3.4824577861162997E-2</v>
      </c>
      <c r="L102">
        <v>5.3423999999999999E-2</v>
      </c>
    </row>
    <row r="103" spans="3:12" x14ac:dyDescent="0.3">
      <c r="C103" s="1" t="s">
        <v>29</v>
      </c>
      <c r="D103" s="1">
        <v>11.3355999999999</v>
      </c>
      <c r="E103" s="1">
        <v>46.9102999999999</v>
      </c>
      <c r="F103" s="1">
        <v>1793.2164</v>
      </c>
      <c r="G103" s="1">
        <v>-3.383</v>
      </c>
      <c r="H103" s="1">
        <v>1970</v>
      </c>
      <c r="I103" s="1" t="str">
        <f t="shared" si="1"/>
        <v>CADE</v>
      </c>
      <c r="J103">
        <v>9.7248000000000005E-3</v>
      </c>
      <c r="K103">
        <v>2.1035021888679999E-3</v>
      </c>
      <c r="L103">
        <v>-0.1200251</v>
      </c>
    </row>
    <row r="104" spans="3:12" x14ac:dyDescent="0.3">
      <c r="C104" s="1" t="s">
        <v>29</v>
      </c>
      <c r="D104" s="1">
        <v>11.3355999999999</v>
      </c>
      <c r="E104" s="1">
        <v>46.9102999999999</v>
      </c>
      <c r="F104" s="1">
        <v>1793.2164</v>
      </c>
      <c r="G104" s="1">
        <v>-0.72299999999999998</v>
      </c>
      <c r="H104" s="1">
        <v>1970</v>
      </c>
      <c r="I104" s="1" t="str">
        <f t="shared" si="1"/>
        <v>CADE</v>
      </c>
      <c r="J104">
        <v>9.7248000000000005E-3</v>
      </c>
      <c r="K104">
        <v>2.1035021888679999E-3</v>
      </c>
      <c r="L104">
        <v>-0.1200251</v>
      </c>
    </row>
    <row r="105" spans="3:12" x14ac:dyDescent="0.3">
      <c r="C105" s="1" t="s">
        <v>29</v>
      </c>
      <c r="D105" s="1">
        <v>11.3355999999999</v>
      </c>
      <c r="E105" s="1">
        <v>46.9102999999999</v>
      </c>
      <c r="F105" s="1">
        <v>1793.2164</v>
      </c>
      <c r="G105" s="1">
        <v>0</v>
      </c>
      <c r="H105" s="1">
        <v>1970</v>
      </c>
      <c r="I105" s="1" t="str">
        <f t="shared" si="1"/>
        <v>CADE</v>
      </c>
      <c r="J105">
        <v>9.7248000000000005E-3</v>
      </c>
      <c r="K105">
        <v>2.1035021888679999E-3</v>
      </c>
      <c r="L105">
        <v>-0.1200251</v>
      </c>
    </row>
    <row r="106" spans="3:12" x14ac:dyDescent="0.3">
      <c r="C106" s="1" t="s">
        <v>29</v>
      </c>
      <c r="D106" s="1">
        <v>10.8605</v>
      </c>
      <c r="E106" s="1">
        <v>45.7196</v>
      </c>
      <c r="F106" s="1">
        <v>1367.8629000000001</v>
      </c>
      <c r="G106" s="1">
        <v>4.0629999999999997</v>
      </c>
      <c r="H106" s="1">
        <v>1989</v>
      </c>
      <c r="I106" s="1" t="str">
        <f t="shared" si="1"/>
        <v>CADE</v>
      </c>
      <c r="J106">
        <v>5.4095999999999997E-3</v>
      </c>
      <c r="K106">
        <v>-8.6163227016889995E-3</v>
      </c>
      <c r="L106">
        <v>-5.6400000000000002E-5</v>
      </c>
    </row>
    <row r="107" spans="3:12" x14ac:dyDescent="0.3">
      <c r="C107" s="1" t="s">
        <v>29</v>
      </c>
      <c r="D107" s="1">
        <v>-119.4324</v>
      </c>
      <c r="E107" s="1">
        <v>37.261499999999899</v>
      </c>
      <c r="F107" s="1">
        <v>1792.5378000000001</v>
      </c>
      <c r="G107" s="1">
        <v>4.8949999999999996</v>
      </c>
      <c r="H107" s="1">
        <v>1895</v>
      </c>
      <c r="I107" s="1" t="str">
        <f t="shared" si="1"/>
        <v>CADE</v>
      </c>
      <c r="J107">
        <v>1.62414E-2</v>
      </c>
      <c r="K107">
        <v>-8.2698561601E-3</v>
      </c>
      <c r="L107">
        <v>2.8980599999999999E-2</v>
      </c>
    </row>
    <row r="108" spans="3:12" x14ac:dyDescent="0.3">
      <c r="C108" s="1" t="s">
        <v>30</v>
      </c>
      <c r="D108" s="1">
        <v>2.0886</v>
      </c>
      <c r="E108" s="1">
        <v>46.670499999999898</v>
      </c>
      <c r="F108" s="1">
        <v>264.83069</v>
      </c>
      <c r="G108" s="1">
        <v>-0.41399999999999998</v>
      </c>
      <c r="H108" s="1">
        <v>1914</v>
      </c>
      <c r="I108" s="1" t="str">
        <f t="shared" si="1"/>
        <v>CABE</v>
      </c>
      <c r="J108">
        <v>1.49062E-2</v>
      </c>
      <c r="K108">
        <v>3.8769856160100001E-2</v>
      </c>
      <c r="L108">
        <v>-0.25414009999999998</v>
      </c>
    </row>
    <row r="109" spans="3:12" x14ac:dyDescent="0.3">
      <c r="C109" s="1" t="s">
        <v>30</v>
      </c>
      <c r="D109" s="1">
        <v>19.6858</v>
      </c>
      <c r="E109" s="1">
        <v>48.844700000000003</v>
      </c>
      <c r="F109" s="1">
        <v>701.47131000000002</v>
      </c>
      <c r="G109" s="1">
        <v>-0.217</v>
      </c>
      <c r="H109" s="1">
        <v>1966</v>
      </c>
      <c r="I109" s="1" t="str">
        <f t="shared" si="1"/>
        <v>CABE</v>
      </c>
      <c r="J109">
        <v>-1.7639100000000001E-2</v>
      </c>
      <c r="K109">
        <v>-3.2774233896185001E-2</v>
      </c>
      <c r="L109">
        <v>-0.5645559</v>
      </c>
    </row>
    <row r="110" spans="3:12" x14ac:dyDescent="0.3">
      <c r="C110" s="1" t="s">
        <v>30</v>
      </c>
      <c r="D110" s="1">
        <v>19.6858</v>
      </c>
      <c r="E110" s="1">
        <v>48.844700000000003</v>
      </c>
      <c r="F110" s="1">
        <v>701.47131000000002</v>
      </c>
      <c r="G110" s="1">
        <v>-1.2E-2</v>
      </c>
      <c r="H110" s="1">
        <v>1966</v>
      </c>
      <c r="I110" s="1" t="str">
        <f t="shared" si="1"/>
        <v>CABE</v>
      </c>
      <c r="J110">
        <v>-1.7639100000000001E-2</v>
      </c>
      <c r="K110">
        <v>-3.2774233896185001E-2</v>
      </c>
      <c r="L110">
        <v>-0.5645559</v>
      </c>
    </row>
    <row r="111" spans="3:12" x14ac:dyDescent="0.3">
      <c r="C111" s="1" t="s">
        <v>30</v>
      </c>
      <c r="D111" s="1">
        <v>2.0886</v>
      </c>
      <c r="E111" s="1">
        <v>46.670499999999898</v>
      </c>
      <c r="F111" s="1">
        <v>264.83069</v>
      </c>
      <c r="G111" s="1">
        <v>2.4E-2</v>
      </c>
      <c r="H111" s="1">
        <v>1914</v>
      </c>
      <c r="I111" s="1" t="str">
        <f t="shared" si="1"/>
        <v>CABE</v>
      </c>
      <c r="J111">
        <v>1.49062E-2</v>
      </c>
      <c r="K111">
        <v>3.8769856160100001E-2</v>
      </c>
      <c r="L111">
        <v>-0.25414009999999998</v>
      </c>
    </row>
    <row r="112" spans="3:12" x14ac:dyDescent="0.3">
      <c r="C112" s="1" t="s">
        <v>30</v>
      </c>
      <c r="D112" s="1">
        <v>2.0886</v>
      </c>
      <c r="E112" s="1">
        <v>46.670499999999898</v>
      </c>
      <c r="F112" s="1">
        <v>264.83069</v>
      </c>
      <c r="G112" s="1">
        <v>0.10299999999999999</v>
      </c>
      <c r="H112" s="1">
        <v>1914</v>
      </c>
      <c r="I112" s="1" t="str">
        <f t="shared" si="1"/>
        <v>CABE</v>
      </c>
      <c r="J112">
        <v>1.49062E-2</v>
      </c>
      <c r="K112">
        <v>3.8769856160100001E-2</v>
      </c>
      <c r="L112">
        <v>-0.25414009999999998</v>
      </c>
    </row>
    <row r="113" spans="3:12" x14ac:dyDescent="0.3">
      <c r="C113" s="1" t="s">
        <v>30</v>
      </c>
      <c r="D113" s="1">
        <v>19.6858</v>
      </c>
      <c r="E113" s="1">
        <v>48.844700000000003</v>
      </c>
      <c r="F113" s="1">
        <v>701.47131000000002</v>
      </c>
      <c r="G113" s="1">
        <v>0.59399999999999997</v>
      </c>
      <c r="H113" s="1">
        <v>1966</v>
      </c>
      <c r="I113" s="1" t="str">
        <f t="shared" si="1"/>
        <v>CABE</v>
      </c>
      <c r="J113">
        <v>-1.7639100000000001E-2</v>
      </c>
      <c r="K113">
        <v>-3.2774233896185001E-2</v>
      </c>
      <c r="L113">
        <v>-0.5645559</v>
      </c>
    </row>
    <row r="114" spans="3:12" x14ac:dyDescent="0.3">
      <c r="C114" s="1" t="s">
        <v>30</v>
      </c>
      <c r="D114" s="1">
        <v>5.3539166666666702</v>
      </c>
      <c r="E114" s="1">
        <v>45.007733333333299</v>
      </c>
      <c r="F114" s="1">
        <v>761.62267999999995</v>
      </c>
      <c r="G114" s="1">
        <v>1.3009999999999999</v>
      </c>
      <c r="H114" s="1">
        <v>1905</v>
      </c>
      <c r="I114" s="1" t="str">
        <f t="shared" si="1"/>
        <v>CABE</v>
      </c>
      <c r="J114">
        <v>1.3298900000000001E-2</v>
      </c>
      <c r="K114">
        <v>-1.2570981863665001E-2</v>
      </c>
      <c r="L114">
        <v>-0.61279859999999997</v>
      </c>
    </row>
    <row r="115" spans="3:12" x14ac:dyDescent="0.3">
      <c r="C115" s="1" t="s">
        <v>30</v>
      </c>
      <c r="D115" s="1">
        <v>10.8605</v>
      </c>
      <c r="E115" s="1">
        <v>45.7196</v>
      </c>
      <c r="F115" s="1">
        <v>1367.8629000000001</v>
      </c>
      <c r="G115" s="1">
        <v>2.3359999999999999</v>
      </c>
      <c r="H115" s="1">
        <v>1989</v>
      </c>
      <c r="I115" s="1" t="str">
        <f t="shared" si="1"/>
        <v>CABE</v>
      </c>
      <c r="J115">
        <v>5.4095999999999997E-3</v>
      </c>
      <c r="K115">
        <v>-8.6163227016889995E-3</v>
      </c>
      <c r="L115">
        <v>-5.6400000000000002E-5</v>
      </c>
    </row>
    <row r="116" spans="3:12" x14ac:dyDescent="0.3">
      <c r="C116" s="1" t="s">
        <v>29</v>
      </c>
      <c r="D116" s="1">
        <v>-119.4324</v>
      </c>
      <c r="E116" s="1">
        <v>37.261499999999899</v>
      </c>
      <c r="F116" s="1">
        <v>1792.5378000000001</v>
      </c>
      <c r="G116" s="1">
        <v>-7.3860000000000001</v>
      </c>
      <c r="H116" s="1">
        <v>1895</v>
      </c>
      <c r="I116" s="1" t="str">
        <f t="shared" si="1"/>
        <v>CADE</v>
      </c>
      <c r="J116">
        <v>1.62414E-2</v>
      </c>
      <c r="K116">
        <v>-8.2698561601E-3</v>
      </c>
      <c r="L116">
        <v>2.8980599999999999E-2</v>
      </c>
    </row>
    <row r="117" spans="3:12" x14ac:dyDescent="0.3">
      <c r="C117" s="1" t="s">
        <v>29</v>
      </c>
      <c r="D117" s="1">
        <v>-119.4324</v>
      </c>
      <c r="E117" s="1">
        <v>37.261499999999899</v>
      </c>
      <c r="F117" s="1">
        <v>1792.5378000000001</v>
      </c>
      <c r="G117" s="1">
        <v>2.54</v>
      </c>
      <c r="H117" s="1">
        <v>1895</v>
      </c>
      <c r="I117" s="1" t="str">
        <f t="shared" si="1"/>
        <v>CADE</v>
      </c>
      <c r="J117">
        <v>1.62414E-2</v>
      </c>
      <c r="K117">
        <v>-8.2698561601E-3</v>
      </c>
      <c r="L117">
        <v>2.8980599999999999E-2</v>
      </c>
    </row>
    <row r="118" spans="3:12" x14ac:dyDescent="0.3">
      <c r="C118" s="1" t="s">
        <v>29</v>
      </c>
      <c r="D118" s="1">
        <v>-119.4324</v>
      </c>
      <c r="E118" s="1">
        <v>37.261499999999899</v>
      </c>
      <c r="F118" s="1">
        <v>1792.5378000000001</v>
      </c>
      <c r="G118" s="1">
        <v>4.5380000000000003</v>
      </c>
      <c r="H118" s="1">
        <v>1895</v>
      </c>
      <c r="I118" s="1" t="str">
        <f t="shared" si="1"/>
        <v>CADE</v>
      </c>
      <c r="J118">
        <v>1.62414E-2</v>
      </c>
      <c r="K118">
        <v>-8.2698561601E-3</v>
      </c>
      <c r="L118">
        <v>2.8980599999999999E-2</v>
      </c>
    </row>
    <row r="119" spans="3:12" x14ac:dyDescent="0.3">
      <c r="C119" s="1" t="s">
        <v>31</v>
      </c>
      <c r="D119" s="1">
        <v>7.0965499999999997</v>
      </c>
      <c r="E119" s="1">
        <v>43.006549999999997</v>
      </c>
      <c r="F119" s="1" t="s">
        <v>112</v>
      </c>
      <c r="G119" s="1">
        <v>0.42899999999999999</v>
      </c>
      <c r="H119" s="1">
        <v>1981</v>
      </c>
      <c r="I119" s="1" t="str">
        <f t="shared" si="1"/>
        <v>CEAT</v>
      </c>
      <c r="J119" t="s">
        <v>112</v>
      </c>
      <c r="K119" t="s">
        <v>112</v>
      </c>
      <c r="L119" t="s">
        <v>112</v>
      </c>
    </row>
    <row r="120" spans="3:12" x14ac:dyDescent="0.3">
      <c r="C120" s="1" t="s">
        <v>32</v>
      </c>
      <c r="D120" s="1">
        <v>-119.4324</v>
      </c>
      <c r="E120" s="1">
        <v>37.261499999999899</v>
      </c>
      <c r="F120" s="1">
        <v>1792.5378000000001</v>
      </c>
      <c r="G120" s="1">
        <v>5.0449999999999999</v>
      </c>
      <c r="H120" s="1">
        <v>1895</v>
      </c>
      <c r="I120" s="1" t="str">
        <f t="shared" si="1"/>
        <v>CEBE</v>
      </c>
      <c r="J120">
        <v>1.62414E-2</v>
      </c>
      <c r="K120">
        <v>-8.2698561601E-3</v>
      </c>
      <c r="L120">
        <v>2.8980599999999999E-2</v>
      </c>
    </row>
    <row r="121" spans="3:12" x14ac:dyDescent="0.3">
      <c r="C121" s="1" t="s">
        <v>32</v>
      </c>
      <c r="D121" s="1">
        <v>-119.4324</v>
      </c>
      <c r="E121" s="1">
        <v>37.261499999999899</v>
      </c>
      <c r="F121" s="1">
        <v>1792.5378000000001</v>
      </c>
      <c r="G121" s="1">
        <v>2.242</v>
      </c>
      <c r="H121" s="1">
        <v>1895</v>
      </c>
      <c r="I121" s="1" t="str">
        <f t="shared" si="1"/>
        <v>CEBE</v>
      </c>
      <c r="J121">
        <v>1.62414E-2</v>
      </c>
      <c r="K121">
        <v>-8.2698561601E-3</v>
      </c>
      <c r="L121">
        <v>2.8980599999999999E-2</v>
      </c>
    </row>
    <row r="122" spans="3:12" x14ac:dyDescent="0.3">
      <c r="C122" s="1" t="s">
        <v>32</v>
      </c>
      <c r="D122" s="1">
        <v>-119.4324</v>
      </c>
      <c r="E122" s="1">
        <v>37.261499999999899</v>
      </c>
      <c r="F122" s="1">
        <v>1792.5378000000001</v>
      </c>
      <c r="G122" s="1">
        <v>2.552</v>
      </c>
      <c r="H122" s="1">
        <v>1895</v>
      </c>
      <c r="I122" s="1" t="str">
        <f t="shared" si="1"/>
        <v>CEBE</v>
      </c>
      <c r="J122">
        <v>1.62414E-2</v>
      </c>
      <c r="K122">
        <v>-8.2698561601E-3</v>
      </c>
      <c r="L122">
        <v>2.8980599999999999E-2</v>
      </c>
    </row>
    <row r="123" spans="3:12" x14ac:dyDescent="0.3">
      <c r="C123" s="1" t="s">
        <v>33</v>
      </c>
      <c r="D123" s="1">
        <v>-119.4324</v>
      </c>
      <c r="E123" s="1">
        <v>37.261499999999899</v>
      </c>
      <c r="F123" s="1">
        <v>1792.5378000000001</v>
      </c>
      <c r="G123" s="1">
        <v>0.85199999999999998</v>
      </c>
      <c r="H123" s="1">
        <v>1895</v>
      </c>
      <c r="I123" s="1" t="str">
        <f t="shared" si="1"/>
        <v>CHLA</v>
      </c>
      <c r="J123">
        <v>1.62414E-2</v>
      </c>
      <c r="K123">
        <v>-8.2698561601E-3</v>
      </c>
      <c r="L123">
        <v>2.8980599999999999E-2</v>
      </c>
    </row>
    <row r="124" spans="3:12" x14ac:dyDescent="0.3">
      <c r="C124" s="1" t="s">
        <v>34</v>
      </c>
      <c r="D124" s="1">
        <v>10.8605</v>
      </c>
      <c r="E124" s="1">
        <v>45.7196</v>
      </c>
      <c r="F124" s="1">
        <v>1367.8629000000001</v>
      </c>
      <c r="G124" s="1">
        <v>22.785</v>
      </c>
      <c r="H124" s="1">
        <v>1989</v>
      </c>
      <c r="I124" s="1" t="str">
        <f t="shared" si="1"/>
        <v>CUSE</v>
      </c>
      <c r="J124">
        <v>5.4095999999999997E-3</v>
      </c>
      <c r="K124">
        <v>-8.6163227016889995E-3</v>
      </c>
      <c r="L124">
        <v>-5.6400000000000002E-5</v>
      </c>
    </row>
    <row r="125" spans="3:12" x14ac:dyDescent="0.3">
      <c r="C125" s="1" t="s">
        <v>35</v>
      </c>
      <c r="D125" s="1">
        <v>-119.4324</v>
      </c>
      <c r="E125" s="1">
        <v>37.261499999999899</v>
      </c>
      <c r="F125" s="1">
        <v>1792.5378000000001</v>
      </c>
      <c r="G125" s="1">
        <v>3.6579999999999999</v>
      </c>
      <c r="H125" s="1">
        <v>1895</v>
      </c>
      <c r="I125" s="1" t="str">
        <f t="shared" si="1"/>
        <v>EUCA</v>
      </c>
      <c r="J125">
        <v>1.62414E-2</v>
      </c>
      <c r="K125">
        <v>-8.2698561601E-3</v>
      </c>
      <c r="L125">
        <v>2.8980599999999999E-2</v>
      </c>
    </row>
    <row r="126" spans="3:12" x14ac:dyDescent="0.3">
      <c r="C126" s="1" t="s">
        <v>36</v>
      </c>
      <c r="D126" s="1">
        <v>-119.4324</v>
      </c>
      <c r="E126" s="1">
        <v>37.261499999999899</v>
      </c>
      <c r="F126" s="1">
        <v>1792.5378000000001</v>
      </c>
      <c r="G126" s="1">
        <v>3.2810000000000001</v>
      </c>
      <c r="H126" s="1">
        <v>1895</v>
      </c>
      <c r="I126" s="1" t="str">
        <f t="shared" si="1"/>
        <v>EUGL</v>
      </c>
      <c r="J126">
        <v>1.62414E-2</v>
      </c>
      <c r="K126">
        <v>-8.2698561601E-3</v>
      </c>
      <c r="L126">
        <v>2.8980599999999999E-2</v>
      </c>
    </row>
    <row r="127" spans="3:12" x14ac:dyDescent="0.3">
      <c r="C127" s="1" t="s">
        <v>35</v>
      </c>
      <c r="D127" s="1">
        <v>-119.4324</v>
      </c>
      <c r="E127" s="1">
        <v>37.261499999999899</v>
      </c>
      <c r="F127" s="1">
        <v>1792.5378000000001</v>
      </c>
      <c r="G127" s="1">
        <v>0.17499999999999999</v>
      </c>
      <c r="H127" s="1">
        <v>1895</v>
      </c>
      <c r="I127" s="1" t="str">
        <f t="shared" si="1"/>
        <v>EUCA</v>
      </c>
      <c r="J127">
        <v>1.62414E-2</v>
      </c>
      <c r="K127">
        <v>-8.2698561601E-3</v>
      </c>
      <c r="L127">
        <v>2.8980599999999999E-2</v>
      </c>
    </row>
    <row r="128" spans="3:12" x14ac:dyDescent="0.3">
      <c r="C128" s="1" t="s">
        <v>35</v>
      </c>
      <c r="D128" s="1">
        <v>10.8605</v>
      </c>
      <c r="E128" s="1">
        <v>45.7196</v>
      </c>
      <c r="F128" s="1">
        <v>1367.8629000000001</v>
      </c>
      <c r="G128" s="1">
        <v>0.51</v>
      </c>
      <c r="H128" s="1">
        <v>1989</v>
      </c>
      <c r="I128" s="1" t="str">
        <f t="shared" si="1"/>
        <v>EUCA</v>
      </c>
      <c r="J128">
        <v>5.4095999999999997E-3</v>
      </c>
      <c r="K128">
        <v>-8.6163227016889995E-3</v>
      </c>
      <c r="L128">
        <v>-5.6400000000000002E-5</v>
      </c>
    </row>
    <row r="129" spans="3:12" x14ac:dyDescent="0.3">
      <c r="C129" s="1" t="s">
        <v>35</v>
      </c>
      <c r="D129" s="1">
        <v>10.8605</v>
      </c>
      <c r="E129" s="1">
        <v>45.7196</v>
      </c>
      <c r="F129" s="1">
        <v>1367.8629000000001</v>
      </c>
      <c r="G129" s="1">
        <v>4.6459999999999999</v>
      </c>
      <c r="H129" s="1">
        <v>1989</v>
      </c>
      <c r="I129" s="1" t="str">
        <f t="shared" si="1"/>
        <v>EUCA</v>
      </c>
      <c r="J129">
        <v>5.4095999999999997E-3</v>
      </c>
      <c r="K129">
        <v>-8.6163227016889995E-3</v>
      </c>
      <c r="L129">
        <v>-5.6400000000000002E-5</v>
      </c>
    </row>
    <row r="130" spans="3:12" x14ac:dyDescent="0.3">
      <c r="C130" s="1" t="s">
        <v>37</v>
      </c>
      <c r="D130" s="1">
        <v>0.92149999999999999</v>
      </c>
      <c r="E130" s="1">
        <v>42.328499999999899</v>
      </c>
      <c r="F130" s="1">
        <v>953.21105999999997</v>
      </c>
      <c r="G130" s="1">
        <v>-3.0910000000000002</v>
      </c>
      <c r="H130" s="1">
        <v>1986</v>
      </c>
      <c r="I130" s="1" t="str">
        <f t="shared" si="1"/>
        <v>FASY</v>
      </c>
      <c r="J130">
        <v>1.85022E-2</v>
      </c>
      <c r="K130">
        <v>-6.2043464665416E-2</v>
      </c>
      <c r="L130">
        <v>-0.70604440000000002</v>
      </c>
    </row>
    <row r="131" spans="3:12" x14ac:dyDescent="0.3">
      <c r="C131" s="1" t="s">
        <v>37</v>
      </c>
      <c r="D131" s="1">
        <v>19.6858</v>
      </c>
      <c r="E131" s="1">
        <v>48.844700000000003</v>
      </c>
      <c r="F131" s="1">
        <v>701.47131000000002</v>
      </c>
      <c r="G131" s="1">
        <v>-0.65200000000000002</v>
      </c>
      <c r="H131" s="1">
        <v>1966</v>
      </c>
      <c r="I131" s="1" t="str">
        <f t="shared" ref="I131:I194" si="2">RIGHT(LEFT(C131,5),4)</f>
        <v>FASY</v>
      </c>
      <c r="J131">
        <v>-1.7639100000000001E-2</v>
      </c>
      <c r="K131">
        <v>-3.2774233896185001E-2</v>
      </c>
      <c r="L131">
        <v>-0.5645559</v>
      </c>
    </row>
    <row r="132" spans="3:12" x14ac:dyDescent="0.3">
      <c r="C132" s="1" t="s">
        <v>37</v>
      </c>
      <c r="D132" s="1">
        <v>2.0886</v>
      </c>
      <c r="E132" s="1">
        <v>46.670499999999898</v>
      </c>
      <c r="F132" s="1">
        <v>264.83069</v>
      </c>
      <c r="G132" s="1">
        <v>-0.51700000000000002</v>
      </c>
      <c r="H132" s="1">
        <v>1914</v>
      </c>
      <c r="I132" s="1" t="str">
        <f t="shared" si="2"/>
        <v>FASY</v>
      </c>
      <c r="J132">
        <v>1.49062E-2</v>
      </c>
      <c r="K132">
        <v>3.8769856160100001E-2</v>
      </c>
      <c r="L132">
        <v>-0.25414009999999998</v>
      </c>
    </row>
    <row r="133" spans="3:12" x14ac:dyDescent="0.3">
      <c r="C133" s="1" t="s">
        <v>37</v>
      </c>
      <c r="D133" s="1">
        <v>19.6858</v>
      </c>
      <c r="E133" s="1">
        <v>48.844700000000003</v>
      </c>
      <c r="F133" s="1">
        <v>701.47131000000002</v>
      </c>
      <c r="G133" s="1">
        <v>-0.30099999999999999</v>
      </c>
      <c r="H133" s="1">
        <v>1966</v>
      </c>
      <c r="I133" s="1" t="str">
        <f t="shared" si="2"/>
        <v>FASY</v>
      </c>
      <c r="J133">
        <v>-1.7639100000000001E-2</v>
      </c>
      <c r="K133">
        <v>-3.2774233896185001E-2</v>
      </c>
      <c r="L133">
        <v>-0.5645559</v>
      </c>
    </row>
    <row r="134" spans="3:12" x14ac:dyDescent="0.3">
      <c r="C134" s="1" t="s">
        <v>37</v>
      </c>
      <c r="D134" s="1">
        <v>2.0886</v>
      </c>
      <c r="E134" s="1">
        <v>46.670499999999898</v>
      </c>
      <c r="F134" s="1">
        <v>264.83069</v>
      </c>
      <c r="G134" s="1">
        <v>-0.23400000000000001</v>
      </c>
      <c r="H134" s="1">
        <v>1914</v>
      </c>
      <c r="I134" s="1" t="str">
        <f t="shared" si="2"/>
        <v>FASY</v>
      </c>
      <c r="J134">
        <v>1.49062E-2</v>
      </c>
      <c r="K134">
        <v>3.8769856160100001E-2</v>
      </c>
      <c r="L134">
        <v>-0.25414009999999998</v>
      </c>
    </row>
    <row r="135" spans="3:12" x14ac:dyDescent="0.3">
      <c r="C135" s="1" t="s">
        <v>37</v>
      </c>
      <c r="D135" s="1">
        <v>19.6858</v>
      </c>
      <c r="E135" s="1">
        <v>48.844700000000003</v>
      </c>
      <c r="F135" s="1">
        <v>701.47131000000002</v>
      </c>
      <c r="G135" s="1">
        <v>-0.17399999999999999</v>
      </c>
      <c r="H135" s="1">
        <v>1966</v>
      </c>
      <c r="I135" s="1" t="str">
        <f t="shared" si="2"/>
        <v>FASY</v>
      </c>
      <c r="J135">
        <v>-1.7639100000000001E-2</v>
      </c>
      <c r="K135">
        <v>-3.2774233896185001E-2</v>
      </c>
      <c r="L135">
        <v>-0.5645559</v>
      </c>
    </row>
    <row r="136" spans="3:12" x14ac:dyDescent="0.3">
      <c r="C136" s="1" t="s">
        <v>37</v>
      </c>
      <c r="D136" s="1">
        <v>-1.7858000000000001</v>
      </c>
      <c r="E136" s="1">
        <v>40.956000000000003</v>
      </c>
      <c r="F136" s="1">
        <v>1084.1304</v>
      </c>
      <c r="G136" s="1">
        <v>-9.0999999999999998E-2</v>
      </c>
      <c r="H136" s="1">
        <v>1986</v>
      </c>
      <c r="I136" s="1" t="str">
        <f t="shared" si="2"/>
        <v>FASY</v>
      </c>
      <c r="J136">
        <v>2.3208300000000001E-2</v>
      </c>
      <c r="K136">
        <v>-5.7681050656660002E-2</v>
      </c>
      <c r="L136">
        <v>-6.4011899999999997E-2</v>
      </c>
    </row>
    <row r="137" spans="3:12" x14ac:dyDescent="0.3">
      <c r="C137" s="1" t="s">
        <v>37</v>
      </c>
      <c r="D137" s="1">
        <v>2.0886</v>
      </c>
      <c r="E137" s="1">
        <v>46.670499999999898</v>
      </c>
      <c r="F137" s="1">
        <v>264.83069</v>
      </c>
      <c r="G137" s="1">
        <v>-3.4000000000000002E-2</v>
      </c>
      <c r="H137" s="1">
        <v>1914</v>
      </c>
      <c r="I137" s="1" t="str">
        <f t="shared" si="2"/>
        <v>FASY</v>
      </c>
      <c r="J137">
        <v>1.49062E-2</v>
      </c>
      <c r="K137">
        <v>3.8769856160100001E-2</v>
      </c>
      <c r="L137">
        <v>-0.25414009999999998</v>
      </c>
    </row>
    <row r="138" spans="3:12" x14ac:dyDescent="0.3">
      <c r="C138" s="1" t="s">
        <v>37</v>
      </c>
      <c r="D138" s="1">
        <v>7.0965499999999997</v>
      </c>
      <c r="E138" s="1">
        <v>43.006549999999997</v>
      </c>
      <c r="F138" s="1" t="s">
        <v>112</v>
      </c>
      <c r="G138" s="1">
        <v>0.28599999999999998</v>
      </c>
      <c r="H138" s="1">
        <v>1981</v>
      </c>
      <c r="I138" s="1" t="str">
        <f t="shared" si="2"/>
        <v>FASY</v>
      </c>
      <c r="J138" t="s">
        <v>112</v>
      </c>
      <c r="K138" t="s">
        <v>112</v>
      </c>
      <c r="L138" t="s">
        <v>112</v>
      </c>
    </row>
    <row r="139" spans="3:12" x14ac:dyDescent="0.3">
      <c r="C139" s="1" t="s">
        <v>37</v>
      </c>
      <c r="D139" s="1">
        <v>13.4633</v>
      </c>
      <c r="E139" s="1">
        <v>48.921500000000002</v>
      </c>
      <c r="F139" s="1">
        <v>869.87121999999999</v>
      </c>
      <c r="G139" s="1">
        <v>0.78500000000000003</v>
      </c>
      <c r="H139" s="1">
        <v>1902</v>
      </c>
      <c r="I139" s="1" t="str">
        <f t="shared" si="2"/>
        <v>FASY</v>
      </c>
      <c r="J139">
        <v>2.1232E-3</v>
      </c>
      <c r="K139">
        <v>-5.7588805503439998E-2</v>
      </c>
      <c r="L139">
        <v>-0.5666291</v>
      </c>
    </row>
    <row r="140" spans="3:12" x14ac:dyDescent="0.3">
      <c r="C140" s="1" t="s">
        <v>37</v>
      </c>
      <c r="D140" s="1">
        <v>2.3963999999999999</v>
      </c>
      <c r="E140" s="1">
        <v>41.7727</v>
      </c>
      <c r="F140" s="1">
        <v>674.88262999999995</v>
      </c>
      <c r="G140" s="1">
        <v>1.228</v>
      </c>
      <c r="H140" s="1">
        <v>1945</v>
      </c>
      <c r="I140" s="1" t="str">
        <f t="shared" si="2"/>
        <v>FASY</v>
      </c>
      <c r="J140">
        <v>1.4996900000000001E-2</v>
      </c>
      <c r="K140">
        <v>-1.2622576610382E-2</v>
      </c>
      <c r="L140">
        <v>-0.33295799999999998</v>
      </c>
    </row>
    <row r="141" spans="3:12" x14ac:dyDescent="0.3">
      <c r="C141" s="1" t="s">
        <v>37</v>
      </c>
      <c r="D141" s="1">
        <v>5.3539166666666702</v>
      </c>
      <c r="E141" s="1">
        <v>45.007733333333299</v>
      </c>
      <c r="F141" s="1">
        <v>761.62267999999995</v>
      </c>
      <c r="G141" s="1">
        <v>2.35</v>
      </c>
      <c r="H141" s="1">
        <v>1905</v>
      </c>
      <c r="I141" s="1" t="str">
        <f t="shared" si="2"/>
        <v>FASY</v>
      </c>
      <c r="J141">
        <v>1.3298900000000001E-2</v>
      </c>
      <c r="K141">
        <v>-1.2570981863665001E-2</v>
      </c>
      <c r="L141">
        <v>-0.61279859999999997</v>
      </c>
    </row>
    <row r="142" spans="3:12" x14ac:dyDescent="0.3">
      <c r="C142" s="1" t="s">
        <v>37</v>
      </c>
      <c r="D142" s="1">
        <v>-0.96830000000000005</v>
      </c>
      <c r="E142" s="1">
        <v>42.850900000000003</v>
      </c>
      <c r="F142" s="1">
        <v>1479.7910999999999</v>
      </c>
      <c r="G142" s="1">
        <v>2.5</v>
      </c>
      <c r="H142" s="1">
        <v>1971</v>
      </c>
      <c r="I142" s="1" t="str">
        <f t="shared" si="2"/>
        <v>FASY</v>
      </c>
      <c r="J142">
        <v>2.1006899999999998E-2</v>
      </c>
      <c r="K142">
        <v>-1.9869606003752E-2</v>
      </c>
      <c r="L142">
        <v>-0.3330362</v>
      </c>
    </row>
    <row r="143" spans="3:12" x14ac:dyDescent="0.3">
      <c r="C143" s="1" t="s">
        <v>37</v>
      </c>
      <c r="D143" s="1">
        <v>-0.96830000000000005</v>
      </c>
      <c r="E143" s="1">
        <v>42.850900000000003</v>
      </c>
      <c r="F143" s="1">
        <v>1479.7910999999999</v>
      </c>
      <c r="G143" s="1">
        <v>3.75</v>
      </c>
      <c r="H143" s="1">
        <v>1971</v>
      </c>
      <c r="I143" s="1" t="str">
        <f t="shared" si="2"/>
        <v>FASY</v>
      </c>
      <c r="J143">
        <v>2.1006899999999998E-2</v>
      </c>
      <c r="K143">
        <v>-1.9869606003752E-2</v>
      </c>
      <c r="L143">
        <v>-0.3330362</v>
      </c>
    </row>
    <row r="144" spans="3:12" x14ac:dyDescent="0.3">
      <c r="C144" s="1" t="s">
        <v>37</v>
      </c>
      <c r="D144" s="1">
        <v>10.8605</v>
      </c>
      <c r="E144" s="1">
        <v>45.7196</v>
      </c>
      <c r="F144" s="1">
        <v>1367.8629000000001</v>
      </c>
      <c r="G144" s="1">
        <v>6.4530000000000003</v>
      </c>
      <c r="H144" s="1">
        <v>1989</v>
      </c>
      <c r="I144" s="1" t="str">
        <f t="shared" si="2"/>
        <v>FASY</v>
      </c>
      <c r="J144">
        <v>5.4095999999999997E-3</v>
      </c>
      <c r="K144">
        <v>-8.6163227016889995E-3</v>
      </c>
      <c r="L144">
        <v>-5.6400000000000002E-5</v>
      </c>
    </row>
    <row r="145" spans="3:12" x14ac:dyDescent="0.3">
      <c r="C145" s="1" t="s">
        <v>38</v>
      </c>
      <c r="D145" s="1">
        <v>13.4633</v>
      </c>
      <c r="E145" s="1">
        <v>48.921500000000002</v>
      </c>
      <c r="F145" s="1">
        <v>869.87121999999999</v>
      </c>
      <c r="G145" s="1">
        <v>1.014</v>
      </c>
      <c r="H145" s="1">
        <v>1902</v>
      </c>
      <c r="I145" s="1" t="str">
        <f t="shared" si="2"/>
        <v>FRAL</v>
      </c>
      <c r="J145">
        <v>2.1232E-3</v>
      </c>
      <c r="K145">
        <v>-5.7588805503439998E-2</v>
      </c>
      <c r="L145">
        <v>-0.5666291</v>
      </c>
    </row>
    <row r="146" spans="3:12" x14ac:dyDescent="0.3">
      <c r="C146" s="1" t="s">
        <v>38</v>
      </c>
      <c r="D146" s="1">
        <v>10.8605</v>
      </c>
      <c r="E146" s="1">
        <v>45.7196</v>
      </c>
      <c r="F146" s="1">
        <v>1367.8629000000001</v>
      </c>
      <c r="G146" s="1">
        <v>5.1609999999999996</v>
      </c>
      <c r="H146" s="1">
        <v>1989</v>
      </c>
      <c r="I146" s="1" t="str">
        <f t="shared" si="2"/>
        <v>FRAL</v>
      </c>
      <c r="J146">
        <v>5.4095999999999997E-3</v>
      </c>
      <c r="K146">
        <v>-8.6163227016889995E-3</v>
      </c>
      <c r="L146">
        <v>-5.6400000000000002E-5</v>
      </c>
    </row>
    <row r="147" spans="3:12" x14ac:dyDescent="0.3">
      <c r="C147" s="1" t="s">
        <v>38</v>
      </c>
      <c r="D147" s="1">
        <v>-119.4324</v>
      </c>
      <c r="E147" s="1">
        <v>37.261499999999899</v>
      </c>
      <c r="F147" s="1">
        <v>1792.5378000000001</v>
      </c>
      <c r="G147" s="1">
        <v>-0.63800000000000001</v>
      </c>
      <c r="H147" s="1">
        <v>1895</v>
      </c>
      <c r="I147" s="1" t="str">
        <f t="shared" si="2"/>
        <v>FRAL</v>
      </c>
      <c r="J147">
        <v>1.62414E-2</v>
      </c>
      <c r="K147">
        <v>-8.2698561601E-3</v>
      </c>
      <c r="L147">
        <v>2.8980599999999999E-2</v>
      </c>
    </row>
    <row r="148" spans="3:12" x14ac:dyDescent="0.3">
      <c r="C148" s="1" t="s">
        <v>38</v>
      </c>
      <c r="D148" s="1">
        <v>-119.4324</v>
      </c>
      <c r="E148" s="1">
        <v>37.261499999999899</v>
      </c>
      <c r="F148" s="1">
        <v>1792.5378000000001</v>
      </c>
      <c r="G148" s="1">
        <v>1.409</v>
      </c>
      <c r="H148" s="1">
        <v>1895</v>
      </c>
      <c r="I148" s="1" t="str">
        <f t="shared" si="2"/>
        <v>FRAL</v>
      </c>
      <c r="J148">
        <v>1.62414E-2</v>
      </c>
      <c r="K148">
        <v>-8.2698561601E-3</v>
      </c>
      <c r="L148">
        <v>2.8980599999999999E-2</v>
      </c>
    </row>
    <row r="149" spans="3:12" x14ac:dyDescent="0.3">
      <c r="C149" s="1" t="s">
        <v>39</v>
      </c>
      <c r="D149" s="1">
        <v>-71.156700000000001</v>
      </c>
      <c r="E149" s="1">
        <v>45.460099999999898</v>
      </c>
      <c r="F149" s="1">
        <v>901.67474000000004</v>
      </c>
      <c r="G149" s="1">
        <v>-0.55800000000000005</v>
      </c>
      <c r="H149" s="1">
        <v>1970</v>
      </c>
      <c r="I149" s="1" t="str">
        <f t="shared" si="2"/>
        <v>FRAM</v>
      </c>
      <c r="J149">
        <v>6.8230000000000001E-3</v>
      </c>
      <c r="K149">
        <v>1.2881801125703999E-2</v>
      </c>
      <c r="L149">
        <v>0.35348039999999997</v>
      </c>
    </row>
    <row r="150" spans="3:12" x14ac:dyDescent="0.3">
      <c r="C150" s="1" t="s">
        <v>40</v>
      </c>
      <c r="D150" s="1">
        <v>19.6858</v>
      </c>
      <c r="E150" s="1">
        <v>48.844700000000003</v>
      </c>
      <c r="F150" s="1">
        <v>701.47131000000002</v>
      </c>
      <c r="G150" s="1">
        <v>0</v>
      </c>
      <c r="H150" s="1">
        <v>1966</v>
      </c>
      <c r="I150" s="1" t="str">
        <f t="shared" si="2"/>
        <v>FREX</v>
      </c>
      <c r="J150">
        <v>-1.7639100000000001E-2</v>
      </c>
      <c r="K150">
        <v>-3.2774233896185001E-2</v>
      </c>
      <c r="L150">
        <v>-0.5645559</v>
      </c>
    </row>
    <row r="151" spans="3:12" x14ac:dyDescent="0.3">
      <c r="C151" s="1" t="s">
        <v>40</v>
      </c>
      <c r="D151" s="1">
        <v>2.0886</v>
      </c>
      <c r="E151" s="1">
        <v>46.670499999999898</v>
      </c>
      <c r="F151" s="1">
        <v>264.83069</v>
      </c>
      <c r="G151" s="1">
        <v>6.9000000000000006E-2</v>
      </c>
      <c r="H151" s="1">
        <v>1914</v>
      </c>
      <c r="I151" s="1" t="str">
        <f t="shared" si="2"/>
        <v>FREX</v>
      </c>
      <c r="J151">
        <v>1.49062E-2</v>
      </c>
      <c r="K151">
        <v>3.8769856160100001E-2</v>
      </c>
      <c r="L151">
        <v>-0.25414009999999998</v>
      </c>
    </row>
    <row r="152" spans="3:12" x14ac:dyDescent="0.3">
      <c r="C152" s="1" t="s">
        <v>40</v>
      </c>
      <c r="D152" s="1">
        <v>5.3539166666666702</v>
      </c>
      <c r="E152" s="1">
        <v>45.007733333333299</v>
      </c>
      <c r="F152" s="1">
        <v>761.62267999999995</v>
      </c>
      <c r="G152" s="1">
        <v>0.52400000000000002</v>
      </c>
      <c r="H152" s="1">
        <v>1905</v>
      </c>
      <c r="I152" s="1" t="str">
        <f t="shared" si="2"/>
        <v>FREX</v>
      </c>
      <c r="J152">
        <v>1.3298900000000001E-2</v>
      </c>
      <c r="K152">
        <v>-1.2570981863665001E-2</v>
      </c>
      <c r="L152">
        <v>-0.61279859999999997</v>
      </c>
    </row>
    <row r="153" spans="3:12" x14ac:dyDescent="0.3">
      <c r="C153" s="1" t="s">
        <v>40</v>
      </c>
      <c r="D153" s="1">
        <v>19.6858</v>
      </c>
      <c r="E153" s="1">
        <v>48.844700000000003</v>
      </c>
      <c r="F153" s="1">
        <v>701.47131000000002</v>
      </c>
      <c r="G153" s="1">
        <v>0.64100000000000001</v>
      </c>
      <c r="H153" s="1">
        <v>1966</v>
      </c>
      <c r="I153" s="1" t="str">
        <f t="shared" si="2"/>
        <v>FREX</v>
      </c>
      <c r="J153">
        <v>-1.7639100000000001E-2</v>
      </c>
      <c r="K153">
        <v>-3.2774233896185001E-2</v>
      </c>
      <c r="L153">
        <v>-0.5645559</v>
      </c>
    </row>
    <row r="154" spans="3:12" x14ac:dyDescent="0.3">
      <c r="C154" s="1" t="s">
        <v>40</v>
      </c>
      <c r="D154" s="1">
        <v>19.6858</v>
      </c>
      <c r="E154" s="1">
        <v>48.844700000000003</v>
      </c>
      <c r="F154" s="1">
        <v>701.47131000000002</v>
      </c>
      <c r="G154" s="1">
        <v>0.91300000000000003</v>
      </c>
      <c r="H154" s="1">
        <v>1966</v>
      </c>
      <c r="I154" s="1" t="str">
        <f t="shared" si="2"/>
        <v>FREX</v>
      </c>
      <c r="J154">
        <v>-1.7639100000000001E-2</v>
      </c>
      <c r="K154">
        <v>-3.2774233896185001E-2</v>
      </c>
      <c r="L154">
        <v>-0.5645559</v>
      </c>
    </row>
    <row r="155" spans="3:12" x14ac:dyDescent="0.3">
      <c r="C155" s="1" t="s">
        <v>40</v>
      </c>
      <c r="D155" s="1">
        <v>2.0886</v>
      </c>
      <c r="E155" s="1">
        <v>46.670499999999898</v>
      </c>
      <c r="F155" s="1">
        <v>264.83069</v>
      </c>
      <c r="G155" s="1">
        <v>1.228</v>
      </c>
      <c r="H155" s="1">
        <v>1914</v>
      </c>
      <c r="I155" s="1" t="str">
        <f t="shared" si="2"/>
        <v>FREX</v>
      </c>
      <c r="J155">
        <v>1.49062E-2</v>
      </c>
      <c r="K155">
        <v>3.8769856160100001E-2</v>
      </c>
      <c r="L155">
        <v>-0.25414009999999998</v>
      </c>
    </row>
    <row r="156" spans="3:12" x14ac:dyDescent="0.3">
      <c r="C156" s="1" t="s">
        <v>40</v>
      </c>
      <c r="D156" s="1">
        <v>13.4633</v>
      </c>
      <c r="E156" s="1">
        <v>48.921500000000002</v>
      </c>
      <c r="F156" s="1">
        <v>869.87121999999999</v>
      </c>
      <c r="G156" s="1">
        <v>2.3540000000000001</v>
      </c>
      <c r="H156" s="1">
        <v>1902</v>
      </c>
      <c r="I156" s="1" t="str">
        <f t="shared" si="2"/>
        <v>FREX</v>
      </c>
      <c r="J156">
        <v>2.1232E-3</v>
      </c>
      <c r="K156">
        <v>-5.7588805503439998E-2</v>
      </c>
      <c r="L156">
        <v>-0.5666291</v>
      </c>
    </row>
    <row r="157" spans="3:12" x14ac:dyDescent="0.3">
      <c r="C157" s="1" t="s">
        <v>40</v>
      </c>
      <c r="D157" s="1">
        <v>2.0886</v>
      </c>
      <c r="E157" s="1">
        <v>46.670499999999898</v>
      </c>
      <c r="F157" s="1">
        <v>264.83069</v>
      </c>
      <c r="G157" s="1">
        <v>3.49</v>
      </c>
      <c r="H157" s="1">
        <v>1914</v>
      </c>
      <c r="I157" s="1" t="str">
        <f t="shared" si="2"/>
        <v>FREX</v>
      </c>
      <c r="J157">
        <v>1.49062E-2</v>
      </c>
      <c r="K157">
        <v>3.8769856160100001E-2</v>
      </c>
      <c r="L157">
        <v>-0.25414009999999998</v>
      </c>
    </row>
    <row r="158" spans="3:12" x14ac:dyDescent="0.3">
      <c r="C158" s="1" t="s">
        <v>40</v>
      </c>
      <c r="D158" s="1">
        <v>10.8605</v>
      </c>
      <c r="E158" s="1">
        <v>45.7196</v>
      </c>
      <c r="F158" s="1">
        <v>1367.8629000000001</v>
      </c>
      <c r="G158" s="1">
        <v>5.0129999999999999</v>
      </c>
      <c r="H158" s="1">
        <v>1989</v>
      </c>
      <c r="I158" s="1" t="str">
        <f t="shared" si="2"/>
        <v>FREX</v>
      </c>
      <c r="J158">
        <v>5.4095999999999997E-3</v>
      </c>
      <c r="K158">
        <v>-8.6163227016889995E-3</v>
      </c>
      <c r="L158">
        <v>-5.6400000000000002E-5</v>
      </c>
    </row>
    <row r="159" spans="3:12" x14ac:dyDescent="0.3">
      <c r="C159" s="1" t="s">
        <v>40</v>
      </c>
      <c r="D159" s="1">
        <v>7.0965499999999997</v>
      </c>
      <c r="E159" s="1">
        <v>43.006549999999997</v>
      </c>
      <c r="F159" s="1" t="s">
        <v>112</v>
      </c>
      <c r="G159" s="1">
        <v>15.643000000000001</v>
      </c>
      <c r="H159" s="1">
        <v>1981</v>
      </c>
      <c r="I159" s="1" t="str">
        <f t="shared" si="2"/>
        <v>FREX</v>
      </c>
      <c r="J159" t="s">
        <v>112</v>
      </c>
      <c r="K159" t="s">
        <v>112</v>
      </c>
      <c r="L159" t="s">
        <v>112</v>
      </c>
    </row>
    <row r="160" spans="3:12" x14ac:dyDescent="0.3">
      <c r="C160" s="1" t="s">
        <v>41</v>
      </c>
      <c r="D160" s="1">
        <v>10.8605</v>
      </c>
      <c r="E160" s="1">
        <v>45.7196</v>
      </c>
      <c r="F160" s="1">
        <v>1367.8629000000001</v>
      </c>
      <c r="G160" s="1">
        <v>3.3079999999999998</v>
      </c>
      <c r="H160" s="1">
        <v>1989</v>
      </c>
      <c r="I160" s="1" t="str">
        <f t="shared" si="2"/>
        <v>FROR</v>
      </c>
      <c r="J160">
        <v>5.4095999999999997E-3</v>
      </c>
      <c r="K160">
        <v>-8.6163227016889995E-3</v>
      </c>
      <c r="L160">
        <v>-5.6400000000000002E-5</v>
      </c>
    </row>
    <row r="161" spans="3:12" x14ac:dyDescent="0.3">
      <c r="C161" s="1" t="s">
        <v>41</v>
      </c>
      <c r="D161" s="1">
        <v>7.0965499999999997</v>
      </c>
      <c r="E161" s="1">
        <v>43.006549999999997</v>
      </c>
      <c r="F161" s="1" t="s">
        <v>112</v>
      </c>
      <c r="G161" s="1">
        <v>6.0709999999999997</v>
      </c>
      <c r="H161" s="1">
        <v>1981</v>
      </c>
      <c r="I161" s="1" t="str">
        <f t="shared" si="2"/>
        <v>FROR</v>
      </c>
      <c r="J161" t="s">
        <v>112</v>
      </c>
      <c r="K161" t="s">
        <v>112</v>
      </c>
      <c r="L161" t="s">
        <v>112</v>
      </c>
    </row>
    <row r="162" spans="3:12" x14ac:dyDescent="0.3">
      <c r="C162" s="1" t="s">
        <v>42</v>
      </c>
      <c r="D162" s="1">
        <v>-119.4324</v>
      </c>
      <c r="E162" s="1">
        <v>37.261499999999899</v>
      </c>
      <c r="F162" s="1">
        <v>1792.5378000000001</v>
      </c>
      <c r="G162" s="1">
        <v>-0.16900000000000001</v>
      </c>
      <c r="H162" s="1">
        <v>1895</v>
      </c>
      <c r="I162" s="1" t="str">
        <f t="shared" si="2"/>
        <v>JUCA</v>
      </c>
      <c r="J162">
        <v>1.62414E-2</v>
      </c>
      <c r="K162">
        <v>-8.2698561601E-3</v>
      </c>
      <c r="L162">
        <v>2.8980599999999999E-2</v>
      </c>
    </row>
    <row r="163" spans="3:12" x14ac:dyDescent="0.3">
      <c r="C163" s="1" t="s">
        <v>43</v>
      </c>
      <c r="D163" s="1">
        <v>10.8605</v>
      </c>
      <c r="E163" s="1">
        <v>45.7196</v>
      </c>
      <c r="F163" s="1">
        <v>1367.8629000000001</v>
      </c>
      <c r="G163" s="1">
        <v>1.472</v>
      </c>
      <c r="H163" s="1">
        <v>1989</v>
      </c>
      <c r="I163" s="1" t="str">
        <f t="shared" si="2"/>
        <v>JURE</v>
      </c>
      <c r="J163">
        <v>5.4095999999999997E-3</v>
      </c>
      <c r="K163">
        <v>-8.6163227016889995E-3</v>
      </c>
      <c r="L163">
        <v>-5.6400000000000002E-5</v>
      </c>
    </row>
    <row r="164" spans="3:12" x14ac:dyDescent="0.3">
      <c r="C164" s="1" t="s">
        <v>43</v>
      </c>
      <c r="D164" s="1">
        <v>7.0965499999999997</v>
      </c>
      <c r="E164" s="1">
        <v>43.006549999999997</v>
      </c>
      <c r="F164" s="1" t="s">
        <v>112</v>
      </c>
      <c r="G164" s="1">
        <v>3.1429999999999998</v>
      </c>
      <c r="H164" s="1">
        <v>1981</v>
      </c>
      <c r="I164" s="1" t="str">
        <f t="shared" si="2"/>
        <v>JURE</v>
      </c>
      <c r="J164" t="s">
        <v>112</v>
      </c>
      <c r="K164" t="s">
        <v>112</v>
      </c>
      <c r="L164" t="s">
        <v>112</v>
      </c>
    </row>
    <row r="165" spans="3:12" x14ac:dyDescent="0.3">
      <c r="C165" s="1" t="s">
        <v>42</v>
      </c>
      <c r="D165" s="1">
        <v>-119.4324</v>
      </c>
      <c r="E165" s="1">
        <v>37.261499999999899</v>
      </c>
      <c r="F165" s="1">
        <v>1792.5378000000001</v>
      </c>
      <c r="G165" s="1">
        <v>0.56499999999999995</v>
      </c>
      <c r="H165" s="1">
        <v>1895</v>
      </c>
      <c r="I165" s="1" t="str">
        <f t="shared" si="2"/>
        <v>JUCA</v>
      </c>
      <c r="J165">
        <v>1.62414E-2</v>
      </c>
      <c r="K165">
        <v>-8.2698561601E-3</v>
      </c>
      <c r="L165">
        <v>2.8980599999999999E-2</v>
      </c>
    </row>
    <row r="166" spans="3:12" x14ac:dyDescent="0.3">
      <c r="C166" s="1" t="s">
        <v>44</v>
      </c>
      <c r="D166" s="1">
        <v>10.8605</v>
      </c>
      <c r="E166" s="1">
        <v>45.7196</v>
      </c>
      <c r="F166" s="1">
        <v>1367.8629000000001</v>
      </c>
      <c r="G166" s="1">
        <v>9.5389999999999997</v>
      </c>
      <c r="H166" s="1">
        <v>1989</v>
      </c>
      <c r="I166" s="1" t="str">
        <f t="shared" si="2"/>
        <v>JUCO</v>
      </c>
      <c r="J166">
        <v>5.4095999999999997E-3</v>
      </c>
      <c r="K166">
        <v>-8.6163227016889995E-3</v>
      </c>
      <c r="L166">
        <v>-5.6400000000000002E-5</v>
      </c>
    </row>
    <row r="167" spans="3:12" x14ac:dyDescent="0.3">
      <c r="C167" s="1" t="s">
        <v>44</v>
      </c>
      <c r="D167" s="1">
        <v>-119.4324</v>
      </c>
      <c r="E167" s="1">
        <v>37.261499999999899</v>
      </c>
      <c r="F167" s="1">
        <v>1792.5378000000001</v>
      </c>
      <c r="G167" s="1">
        <v>-8.0000000000000002E-3</v>
      </c>
      <c r="H167" s="1">
        <v>1895</v>
      </c>
      <c r="I167" s="1" t="str">
        <f t="shared" si="2"/>
        <v>JUCO</v>
      </c>
      <c r="J167">
        <v>1.62414E-2</v>
      </c>
      <c r="K167">
        <v>-8.2698561601E-3</v>
      </c>
      <c r="L167">
        <v>2.8980599999999999E-2</v>
      </c>
    </row>
    <row r="168" spans="3:12" x14ac:dyDescent="0.3">
      <c r="C168" s="1" t="s">
        <v>44</v>
      </c>
      <c r="D168" s="1">
        <v>-119.4324</v>
      </c>
      <c r="E168" s="1">
        <v>37.261499999999899</v>
      </c>
      <c r="F168" s="1">
        <v>1792.5378000000001</v>
      </c>
      <c r="G168" s="1">
        <v>-1.0620000000000001</v>
      </c>
      <c r="H168" s="1">
        <v>1895</v>
      </c>
      <c r="I168" s="1" t="str">
        <f t="shared" si="2"/>
        <v>JUCO</v>
      </c>
      <c r="J168">
        <v>1.62414E-2</v>
      </c>
      <c r="K168">
        <v>-8.2698561601E-3</v>
      </c>
      <c r="L168">
        <v>2.8980599999999999E-2</v>
      </c>
    </row>
    <row r="169" spans="3:12" x14ac:dyDescent="0.3">
      <c r="C169" s="1" t="s">
        <v>45</v>
      </c>
      <c r="D169" s="1">
        <v>-119.4324</v>
      </c>
      <c r="E169" s="1">
        <v>37.261499999999899</v>
      </c>
      <c r="F169" s="1">
        <v>1792.5378000000001</v>
      </c>
      <c r="G169" s="1">
        <v>8.8819999999999997</v>
      </c>
      <c r="H169" s="1">
        <v>1895</v>
      </c>
      <c r="I169" s="1" t="str">
        <f t="shared" si="2"/>
        <v>JUOC</v>
      </c>
      <c r="J169">
        <v>1.62414E-2</v>
      </c>
      <c r="K169">
        <v>-8.2698561601E-3</v>
      </c>
      <c r="L169">
        <v>2.8980599999999999E-2</v>
      </c>
    </row>
    <row r="170" spans="3:12" x14ac:dyDescent="0.3">
      <c r="C170" s="1" t="s">
        <v>46</v>
      </c>
      <c r="D170" s="1">
        <v>-119.4324</v>
      </c>
      <c r="E170" s="1">
        <v>37.261499999999899</v>
      </c>
      <c r="F170" s="1">
        <v>1792.5378000000001</v>
      </c>
      <c r="G170" s="1">
        <v>-1.5049999999999999</v>
      </c>
      <c r="H170" s="1">
        <v>1895</v>
      </c>
      <c r="I170" s="1" t="str">
        <f t="shared" si="2"/>
        <v>JUOX</v>
      </c>
      <c r="J170">
        <v>1.62414E-2</v>
      </c>
      <c r="K170">
        <v>-8.2698561601E-3</v>
      </c>
      <c r="L170">
        <v>2.8980599999999999E-2</v>
      </c>
    </row>
    <row r="171" spans="3:12" x14ac:dyDescent="0.3">
      <c r="C171" s="1" t="s">
        <v>47</v>
      </c>
      <c r="D171" s="1">
        <v>-119.4324</v>
      </c>
      <c r="E171" s="1">
        <v>37.261499999999899</v>
      </c>
      <c r="F171" s="1">
        <v>1792.5378000000001</v>
      </c>
      <c r="G171" s="1">
        <v>0.70099999999999996</v>
      </c>
      <c r="H171" s="1">
        <v>1895</v>
      </c>
      <c r="I171" s="1" t="str">
        <f t="shared" si="2"/>
        <v>JUSA</v>
      </c>
      <c r="J171">
        <v>1.62414E-2</v>
      </c>
      <c r="K171">
        <v>-8.2698561601E-3</v>
      </c>
      <c r="L171">
        <v>2.8980599999999999E-2</v>
      </c>
    </row>
    <row r="172" spans="3:12" x14ac:dyDescent="0.3">
      <c r="C172" s="1" t="s">
        <v>42</v>
      </c>
      <c r="D172" s="1">
        <v>-121.3335</v>
      </c>
      <c r="E172" s="1">
        <v>38.500700000000002</v>
      </c>
      <c r="F172" s="1">
        <v>17.796066</v>
      </c>
      <c r="G172" s="1">
        <v>-2.1339999999999999</v>
      </c>
      <c r="H172" s="1">
        <v>1930</v>
      </c>
      <c r="I172" s="1" t="str">
        <f t="shared" si="2"/>
        <v>JUCA</v>
      </c>
      <c r="J172">
        <v>7.2951999999999999E-3</v>
      </c>
      <c r="K172">
        <v>4.4734208880549998E-3</v>
      </c>
      <c r="L172">
        <v>3.0206E-3</v>
      </c>
    </row>
    <row r="173" spans="3:12" x14ac:dyDescent="0.3">
      <c r="C173" s="1" t="s">
        <v>42</v>
      </c>
      <c r="D173" s="1">
        <v>-119.4324</v>
      </c>
      <c r="E173" s="1">
        <v>37.261499999999899</v>
      </c>
      <c r="F173" s="1">
        <v>1792.5378000000001</v>
      </c>
      <c r="G173" s="1">
        <v>-1.772</v>
      </c>
      <c r="H173" s="1">
        <v>1895</v>
      </c>
      <c r="I173" s="1" t="str">
        <f t="shared" si="2"/>
        <v>JUCA</v>
      </c>
      <c r="J173">
        <v>1.62414E-2</v>
      </c>
      <c r="K173">
        <v>-8.2698561601E-3</v>
      </c>
      <c r="L173">
        <v>2.8980599999999999E-2</v>
      </c>
    </row>
    <row r="174" spans="3:12" x14ac:dyDescent="0.3">
      <c r="C174" s="1" t="s">
        <v>44</v>
      </c>
      <c r="D174" s="1">
        <v>-119.4324</v>
      </c>
      <c r="E174" s="1">
        <v>37.261499999999899</v>
      </c>
      <c r="F174" s="1">
        <v>1792.5378000000001</v>
      </c>
      <c r="G174" s="1">
        <v>-11.365</v>
      </c>
      <c r="H174" s="1">
        <v>1895</v>
      </c>
      <c r="I174" s="1" t="str">
        <f t="shared" si="2"/>
        <v>JUCO</v>
      </c>
      <c r="J174">
        <v>1.62414E-2</v>
      </c>
      <c r="K174">
        <v>-8.2698561601E-3</v>
      </c>
      <c r="L174">
        <v>2.8980599999999999E-2</v>
      </c>
    </row>
    <row r="175" spans="3:12" x14ac:dyDescent="0.3">
      <c r="C175" s="1" t="s">
        <v>44</v>
      </c>
      <c r="D175" s="1">
        <v>5.3539166666666702</v>
      </c>
      <c r="E175" s="1">
        <v>45.007733333333299</v>
      </c>
      <c r="F175" s="1">
        <v>761.62267999999995</v>
      </c>
      <c r="G175" s="1">
        <v>-2.8740000000000001</v>
      </c>
      <c r="H175" s="1">
        <v>1905</v>
      </c>
      <c r="I175" s="1" t="str">
        <f t="shared" si="2"/>
        <v>JUCO</v>
      </c>
      <c r="J175">
        <v>1.3298900000000001E-2</v>
      </c>
      <c r="K175">
        <v>-1.2570981863665001E-2</v>
      </c>
      <c r="L175">
        <v>-0.61279859999999997</v>
      </c>
    </row>
    <row r="176" spans="3:12" x14ac:dyDescent="0.3">
      <c r="C176" s="1" t="s">
        <v>44</v>
      </c>
      <c r="D176" s="1">
        <v>13.0769</v>
      </c>
      <c r="E176" s="1">
        <v>63.4405</v>
      </c>
      <c r="F176" s="1">
        <v>1097.6077</v>
      </c>
      <c r="G176" s="1">
        <v>0</v>
      </c>
      <c r="H176" s="1">
        <v>1948</v>
      </c>
      <c r="I176" s="1" t="str">
        <f t="shared" si="2"/>
        <v>JUCO</v>
      </c>
      <c r="J176">
        <v>7.0419000000000002E-3</v>
      </c>
      <c r="K176">
        <v>2.6615071919949999E-2</v>
      </c>
      <c r="L176">
        <v>-0.1774985</v>
      </c>
    </row>
    <row r="177" spans="3:12" x14ac:dyDescent="0.3">
      <c r="C177" s="1" t="s">
        <v>44</v>
      </c>
      <c r="D177" s="1">
        <v>24.6996</v>
      </c>
      <c r="E177" s="1">
        <v>69.812799999999896</v>
      </c>
      <c r="F177" s="1">
        <v>412.95316000000003</v>
      </c>
      <c r="G177" s="1">
        <v>0.185</v>
      </c>
      <c r="H177" s="1">
        <v>1982</v>
      </c>
      <c r="I177" s="1" t="str">
        <f t="shared" si="2"/>
        <v>JUCO</v>
      </c>
      <c r="J177">
        <v>2.7829999999999999E-3</v>
      </c>
      <c r="K177">
        <v>-5.2529706066289997E-3</v>
      </c>
      <c r="L177">
        <v>-4.50312E-2</v>
      </c>
    </row>
    <row r="178" spans="3:12" x14ac:dyDescent="0.3">
      <c r="C178" s="1" t="s">
        <v>44</v>
      </c>
      <c r="D178" s="1">
        <v>10.0448</v>
      </c>
      <c r="E178" s="1">
        <v>46.602699999999899</v>
      </c>
      <c r="F178" s="1">
        <v>1978.8960999999999</v>
      </c>
      <c r="G178" s="1">
        <v>0.42899999999999999</v>
      </c>
      <c r="H178" s="1">
        <v>1912</v>
      </c>
      <c r="I178" s="1" t="str">
        <f t="shared" si="2"/>
        <v>JUCO</v>
      </c>
      <c r="J178">
        <v>1.1554099999999999E-2</v>
      </c>
      <c r="K178">
        <v>1.3260162601626E-2</v>
      </c>
      <c r="L178">
        <v>-0.16215450000000001</v>
      </c>
    </row>
    <row r="179" spans="3:12" x14ac:dyDescent="0.3">
      <c r="C179" s="1" t="s">
        <v>44</v>
      </c>
      <c r="D179" s="1">
        <v>9.9322999999999997</v>
      </c>
      <c r="E179" s="1">
        <v>46.615900000000003</v>
      </c>
      <c r="F179" s="1">
        <v>2531.1504</v>
      </c>
      <c r="G179" s="1">
        <v>0.7</v>
      </c>
      <c r="H179" s="1">
        <v>1835</v>
      </c>
      <c r="I179" s="1" t="str">
        <f t="shared" si="2"/>
        <v>JUCO</v>
      </c>
      <c r="J179">
        <v>1.02408E-2</v>
      </c>
      <c r="K179">
        <v>7.003439649781E-3</v>
      </c>
      <c r="L179">
        <v>-0.1449375</v>
      </c>
    </row>
    <row r="180" spans="3:12" x14ac:dyDescent="0.3">
      <c r="C180" s="1" t="s">
        <v>44</v>
      </c>
      <c r="D180" s="1">
        <v>-3.9306000000000001</v>
      </c>
      <c r="E180" s="1">
        <v>40.860799999999898</v>
      </c>
      <c r="F180" s="1">
        <v>1769.4078</v>
      </c>
      <c r="G180" s="1">
        <v>0.81499999999999995</v>
      </c>
      <c r="H180" s="1">
        <v>1962</v>
      </c>
      <c r="I180" s="1" t="str">
        <f t="shared" si="2"/>
        <v>JUCO</v>
      </c>
      <c r="J180">
        <v>2.2770499999999999E-2</v>
      </c>
      <c r="K180">
        <v>-3.0929956222638999E-2</v>
      </c>
      <c r="L180">
        <v>3.4293299999999999E-2</v>
      </c>
    </row>
    <row r="181" spans="3:12" x14ac:dyDescent="0.3">
      <c r="C181" s="1" t="s">
        <v>44</v>
      </c>
      <c r="D181" s="1">
        <v>-119.4324</v>
      </c>
      <c r="E181" s="1">
        <v>37.261499999999899</v>
      </c>
      <c r="F181" s="1">
        <v>1792.5378000000001</v>
      </c>
      <c r="G181" s="1">
        <v>0.82599999999999996</v>
      </c>
      <c r="H181" s="1">
        <v>1895</v>
      </c>
      <c r="I181" s="1" t="str">
        <f t="shared" si="2"/>
        <v>JUCO</v>
      </c>
      <c r="J181">
        <v>1.62414E-2</v>
      </c>
      <c r="K181">
        <v>-8.2698561601E-3</v>
      </c>
      <c r="L181">
        <v>2.8980599999999999E-2</v>
      </c>
    </row>
    <row r="182" spans="3:12" x14ac:dyDescent="0.3">
      <c r="C182" s="1" t="s">
        <v>44</v>
      </c>
      <c r="D182" s="1">
        <v>24.6996</v>
      </c>
      <c r="E182" s="1">
        <v>69.812799999999896</v>
      </c>
      <c r="F182" s="1">
        <v>412.95316000000003</v>
      </c>
      <c r="G182" s="1">
        <v>0.92600000000000005</v>
      </c>
      <c r="H182" s="1">
        <v>1982</v>
      </c>
      <c r="I182" s="1" t="str">
        <f t="shared" si="2"/>
        <v>JUCO</v>
      </c>
      <c r="J182">
        <v>2.7829999999999999E-3</v>
      </c>
      <c r="K182">
        <v>-5.2529706066289997E-3</v>
      </c>
      <c r="L182">
        <v>-4.50312E-2</v>
      </c>
    </row>
    <row r="183" spans="3:12" x14ac:dyDescent="0.3">
      <c r="C183" s="1" t="s">
        <v>44</v>
      </c>
      <c r="D183" s="1">
        <v>11.3355999999999</v>
      </c>
      <c r="E183" s="1">
        <v>46.9102999999999</v>
      </c>
      <c r="F183" s="1">
        <v>1793.2164</v>
      </c>
      <c r="G183" s="1">
        <v>1.383</v>
      </c>
      <c r="H183" s="1">
        <v>1970</v>
      </c>
      <c r="I183" s="1" t="str">
        <f t="shared" si="2"/>
        <v>JUCO</v>
      </c>
      <c r="J183">
        <v>9.7248000000000005E-3</v>
      </c>
      <c r="K183">
        <v>2.1035021888679999E-3</v>
      </c>
      <c r="L183">
        <v>-0.1200251</v>
      </c>
    </row>
    <row r="184" spans="3:12" x14ac:dyDescent="0.3">
      <c r="C184" s="1" t="s">
        <v>44</v>
      </c>
      <c r="D184" s="1">
        <v>11.3355999999999</v>
      </c>
      <c r="E184" s="1">
        <v>46.9102999999999</v>
      </c>
      <c r="F184" s="1">
        <v>1793.2164</v>
      </c>
      <c r="G184" s="1">
        <v>2.34</v>
      </c>
      <c r="H184" s="1">
        <v>1970</v>
      </c>
      <c r="I184" s="1" t="str">
        <f t="shared" si="2"/>
        <v>JUCO</v>
      </c>
      <c r="J184">
        <v>9.7248000000000005E-3</v>
      </c>
      <c r="K184">
        <v>2.1035021888679999E-3</v>
      </c>
      <c r="L184">
        <v>-0.1200251</v>
      </c>
    </row>
    <row r="185" spans="3:12" x14ac:dyDescent="0.3">
      <c r="C185" s="1" t="s">
        <v>44</v>
      </c>
      <c r="D185" s="1">
        <v>11.3355999999999</v>
      </c>
      <c r="E185" s="1">
        <v>46.9102999999999</v>
      </c>
      <c r="F185" s="1">
        <v>1793.2164</v>
      </c>
      <c r="G185" s="1">
        <v>2.5960000000000001</v>
      </c>
      <c r="H185" s="1">
        <v>1970</v>
      </c>
      <c r="I185" s="1" t="str">
        <f t="shared" si="2"/>
        <v>JUCO</v>
      </c>
      <c r="J185">
        <v>9.7248000000000005E-3</v>
      </c>
      <c r="K185">
        <v>2.1035021888679999E-3</v>
      </c>
      <c r="L185">
        <v>-0.1200251</v>
      </c>
    </row>
    <row r="186" spans="3:12" x14ac:dyDescent="0.3">
      <c r="C186" s="1" t="s">
        <v>44</v>
      </c>
      <c r="D186" s="1">
        <v>10.8605</v>
      </c>
      <c r="E186" s="1">
        <v>45.7196</v>
      </c>
      <c r="F186" s="1">
        <v>1367.8629000000001</v>
      </c>
      <c r="G186" s="1">
        <v>4.923</v>
      </c>
      <c r="H186" s="1">
        <v>1989</v>
      </c>
      <c r="I186" s="1" t="str">
        <f t="shared" si="2"/>
        <v>JUCO</v>
      </c>
      <c r="J186">
        <v>5.4095999999999997E-3</v>
      </c>
      <c r="K186">
        <v>-8.6163227016889995E-3</v>
      </c>
      <c r="L186">
        <v>-5.6400000000000002E-5</v>
      </c>
    </row>
    <row r="187" spans="3:12" x14ac:dyDescent="0.3">
      <c r="C187" s="1" t="s">
        <v>44</v>
      </c>
      <c r="D187" s="1">
        <v>7.0965499999999997</v>
      </c>
      <c r="E187" s="1">
        <v>43.006549999999997</v>
      </c>
      <c r="F187" s="1" t="s">
        <v>112</v>
      </c>
      <c r="G187" s="1">
        <v>6.9290000000000003</v>
      </c>
      <c r="H187" s="1">
        <v>1981</v>
      </c>
      <c r="I187" s="1" t="str">
        <f t="shared" si="2"/>
        <v>JUCO</v>
      </c>
      <c r="J187" t="s">
        <v>112</v>
      </c>
      <c r="K187" t="s">
        <v>112</v>
      </c>
      <c r="L187" t="s">
        <v>112</v>
      </c>
    </row>
    <row r="188" spans="3:12" x14ac:dyDescent="0.3">
      <c r="C188" s="1" t="s">
        <v>48</v>
      </c>
      <c r="D188" s="1">
        <v>-110.7542</v>
      </c>
      <c r="E188" s="1">
        <v>32.437800000000003</v>
      </c>
      <c r="F188" s="1">
        <v>2398.3027000000002</v>
      </c>
      <c r="G188" s="1">
        <v>0</v>
      </c>
      <c r="H188" s="1">
        <v>1963</v>
      </c>
      <c r="I188" s="1" t="str">
        <f t="shared" si="2"/>
        <v>JUDE</v>
      </c>
      <c r="J188">
        <v>1.6810499999999999E-2</v>
      </c>
      <c r="K188">
        <v>7.7042839274546998E-2</v>
      </c>
      <c r="L188">
        <v>-5.29769E-2</v>
      </c>
    </row>
    <row r="189" spans="3:12" x14ac:dyDescent="0.3">
      <c r="C189" s="1" t="s">
        <v>48</v>
      </c>
      <c r="D189" s="1">
        <v>-110.7542</v>
      </c>
      <c r="E189" s="1">
        <v>32.437800000000003</v>
      </c>
      <c r="F189" s="1">
        <v>2398.3027000000002</v>
      </c>
      <c r="G189" s="1">
        <v>6.3940000000000001</v>
      </c>
      <c r="H189" s="1">
        <v>1963</v>
      </c>
      <c r="I189" s="1" t="str">
        <f t="shared" si="2"/>
        <v>JUDE</v>
      </c>
      <c r="J189">
        <v>1.6810499999999999E-2</v>
      </c>
      <c r="K189">
        <v>7.7042839274546998E-2</v>
      </c>
      <c r="L189">
        <v>-5.29769E-2</v>
      </c>
    </row>
    <row r="190" spans="3:12" x14ac:dyDescent="0.3">
      <c r="C190" s="1" t="s">
        <v>45</v>
      </c>
      <c r="D190" s="1">
        <v>-121.3335</v>
      </c>
      <c r="E190" s="1">
        <v>38.500700000000002</v>
      </c>
      <c r="F190" s="1">
        <v>17.796066</v>
      </c>
      <c r="G190" s="1">
        <v>-10.494</v>
      </c>
      <c r="H190" s="1">
        <v>1930</v>
      </c>
      <c r="I190" s="1" t="str">
        <f t="shared" si="2"/>
        <v>JUOC</v>
      </c>
      <c r="J190">
        <v>7.2951999999999999E-3</v>
      </c>
      <c r="K190">
        <v>4.4734208880549998E-3</v>
      </c>
      <c r="L190">
        <v>3.0206E-3</v>
      </c>
    </row>
    <row r="191" spans="3:12" x14ac:dyDescent="0.3">
      <c r="C191" s="1" t="s">
        <v>45</v>
      </c>
      <c r="D191" s="1">
        <v>-119.4324</v>
      </c>
      <c r="E191" s="1">
        <v>37.261499999999899</v>
      </c>
      <c r="F191" s="1">
        <v>1792.5378000000001</v>
      </c>
      <c r="G191" s="1">
        <v>4.8140000000000001</v>
      </c>
      <c r="H191" s="1">
        <v>1895</v>
      </c>
      <c r="I191" s="1" t="str">
        <f t="shared" si="2"/>
        <v>JUOC</v>
      </c>
      <c r="J191">
        <v>1.62414E-2</v>
      </c>
      <c r="K191">
        <v>-8.2698561601E-3</v>
      </c>
      <c r="L191">
        <v>2.8980599999999999E-2</v>
      </c>
    </row>
    <row r="192" spans="3:12" x14ac:dyDescent="0.3">
      <c r="C192" s="1" t="s">
        <v>49</v>
      </c>
      <c r="D192" s="1">
        <v>-119.4324</v>
      </c>
      <c r="E192" s="1">
        <v>37.261499999999899</v>
      </c>
      <c r="F192" s="1">
        <v>1792.5378000000001</v>
      </c>
      <c r="G192" s="1">
        <v>-1.748</v>
      </c>
      <c r="H192" s="1">
        <v>1895</v>
      </c>
      <c r="I192" s="1" t="str">
        <f t="shared" si="2"/>
        <v>JUOS</v>
      </c>
      <c r="J192">
        <v>1.62414E-2</v>
      </c>
      <c r="K192">
        <v>-8.2698561601E-3</v>
      </c>
      <c r="L192">
        <v>2.8980599999999999E-2</v>
      </c>
    </row>
    <row r="193" spans="3:12" x14ac:dyDescent="0.3">
      <c r="C193" s="1" t="s">
        <v>46</v>
      </c>
      <c r="D193" s="1">
        <v>7.0965499999999997</v>
      </c>
      <c r="E193" s="1">
        <v>43.006549999999997</v>
      </c>
      <c r="F193" s="1" t="s">
        <v>112</v>
      </c>
      <c r="G193" s="1">
        <v>0.14299999999999999</v>
      </c>
      <c r="H193" s="1">
        <v>1981</v>
      </c>
      <c r="I193" s="1" t="str">
        <f t="shared" si="2"/>
        <v>JUOX</v>
      </c>
      <c r="J193" t="s">
        <v>112</v>
      </c>
      <c r="K193" t="s">
        <v>112</v>
      </c>
      <c r="L193" t="s">
        <v>112</v>
      </c>
    </row>
    <row r="194" spans="3:12" x14ac:dyDescent="0.3">
      <c r="C194" s="1" t="s">
        <v>43</v>
      </c>
      <c r="D194" s="1">
        <v>88.524900000000002</v>
      </c>
      <c r="E194" s="1">
        <v>27.904599999999899</v>
      </c>
      <c r="F194" s="1">
        <v>4072.03</v>
      </c>
      <c r="G194" s="1">
        <v>-0.34599999999999997</v>
      </c>
      <c r="H194" s="1">
        <v>1849</v>
      </c>
      <c r="I194" s="1" t="str">
        <f t="shared" si="2"/>
        <v>JURE</v>
      </c>
      <c r="J194">
        <v>5.3346000000000001E-3</v>
      </c>
      <c r="K194">
        <v>3.1974358974358998E-2</v>
      </c>
      <c r="L194">
        <v>-0.55690430000000002</v>
      </c>
    </row>
    <row r="195" spans="3:12" x14ac:dyDescent="0.3">
      <c r="C195" s="1" t="s">
        <v>43</v>
      </c>
      <c r="D195" s="1">
        <v>88.524900000000002</v>
      </c>
      <c r="E195" s="1">
        <v>27.904599999999899</v>
      </c>
      <c r="F195" s="1">
        <v>4072.03</v>
      </c>
      <c r="G195" s="1">
        <v>0.123</v>
      </c>
      <c r="H195" s="1">
        <v>1849</v>
      </c>
      <c r="I195" s="1" t="str">
        <f t="shared" ref="I195:I258" si="3">RIGHT(LEFT(C195,5),4)</f>
        <v>JURE</v>
      </c>
      <c r="J195">
        <v>5.3346000000000001E-3</v>
      </c>
      <c r="K195">
        <v>3.1974358974358998E-2</v>
      </c>
      <c r="L195">
        <v>-0.55690430000000002</v>
      </c>
    </row>
    <row r="196" spans="3:12" x14ac:dyDescent="0.3">
      <c r="C196" s="1" t="s">
        <v>43</v>
      </c>
      <c r="D196" s="1">
        <v>88.524900000000002</v>
      </c>
      <c r="E196" s="1">
        <v>27.904599999999899</v>
      </c>
      <c r="F196" s="1">
        <v>4072.03</v>
      </c>
      <c r="G196" s="1">
        <v>0.59199999999999997</v>
      </c>
      <c r="H196" s="1">
        <v>1849</v>
      </c>
      <c r="I196" s="1" t="str">
        <f t="shared" si="3"/>
        <v>JURE</v>
      </c>
      <c r="J196">
        <v>5.3346000000000001E-3</v>
      </c>
      <c r="K196">
        <v>3.1974358974358998E-2</v>
      </c>
      <c r="L196">
        <v>-0.55690430000000002</v>
      </c>
    </row>
    <row r="197" spans="3:12" x14ac:dyDescent="0.3">
      <c r="C197" s="1" t="s">
        <v>47</v>
      </c>
      <c r="D197" s="1">
        <v>7.0965499999999997</v>
      </c>
      <c r="E197" s="1">
        <v>43.006549999999997</v>
      </c>
      <c r="F197" s="1" t="s">
        <v>112</v>
      </c>
      <c r="G197" s="1">
        <v>5.7859999999999996</v>
      </c>
      <c r="H197" s="1">
        <v>1981</v>
      </c>
      <c r="I197" s="1" t="str">
        <f t="shared" si="3"/>
        <v>JUSA</v>
      </c>
      <c r="J197" t="s">
        <v>112</v>
      </c>
      <c r="K197" t="s">
        <v>112</v>
      </c>
      <c r="L197" t="s">
        <v>112</v>
      </c>
    </row>
    <row r="198" spans="3:12" x14ac:dyDescent="0.3">
      <c r="C198" s="1" t="s">
        <v>42</v>
      </c>
      <c r="D198" s="1">
        <v>-119.4324</v>
      </c>
      <c r="E198" s="1">
        <v>37.261499999999899</v>
      </c>
      <c r="F198" s="1">
        <v>1792.5378000000001</v>
      </c>
      <c r="G198" s="1">
        <v>0.35699999999999998</v>
      </c>
      <c r="H198" s="1">
        <v>1895</v>
      </c>
      <c r="I198" s="1" t="str">
        <f t="shared" si="3"/>
        <v>JUCA</v>
      </c>
      <c r="J198">
        <v>1.62414E-2</v>
      </c>
      <c r="K198">
        <v>-8.2698561601E-3</v>
      </c>
      <c r="L198">
        <v>2.8980599999999999E-2</v>
      </c>
    </row>
    <row r="199" spans="3:12" x14ac:dyDescent="0.3">
      <c r="C199" s="1" t="s">
        <v>50</v>
      </c>
      <c r="D199" s="1">
        <v>9.9429999999999996</v>
      </c>
      <c r="E199" s="1">
        <v>46.405999999999899</v>
      </c>
      <c r="F199" s="1">
        <v>2714.0785999999998</v>
      </c>
      <c r="G199" s="1">
        <v>-1.5149999999999999</v>
      </c>
      <c r="H199" s="1">
        <v>1906</v>
      </c>
      <c r="I199" s="1" t="str">
        <f t="shared" si="3"/>
        <v>LADE</v>
      </c>
      <c r="J199">
        <v>1.07098E-2</v>
      </c>
      <c r="K199">
        <v>1.6258599124452999E-2</v>
      </c>
      <c r="L199">
        <v>-0.35351779999999999</v>
      </c>
    </row>
    <row r="200" spans="3:12" x14ac:dyDescent="0.3">
      <c r="C200" s="1" t="s">
        <v>50</v>
      </c>
      <c r="D200" s="1">
        <v>10.8605</v>
      </c>
      <c r="E200" s="1">
        <v>45.7196</v>
      </c>
      <c r="F200" s="1">
        <v>1367.8629000000001</v>
      </c>
      <c r="G200" s="1">
        <v>0.86</v>
      </c>
      <c r="H200" s="1">
        <v>1989</v>
      </c>
      <c r="I200" s="1" t="str">
        <f t="shared" si="3"/>
        <v>LADE</v>
      </c>
      <c r="J200">
        <v>5.4095999999999997E-3</v>
      </c>
      <c r="K200">
        <v>-8.6163227016889995E-3</v>
      </c>
      <c r="L200">
        <v>-5.6400000000000002E-5</v>
      </c>
    </row>
    <row r="201" spans="3:12" x14ac:dyDescent="0.3">
      <c r="C201" s="1" t="s">
        <v>50</v>
      </c>
      <c r="D201" s="1">
        <v>7.3609</v>
      </c>
      <c r="E201" s="1">
        <v>45.7926</v>
      </c>
      <c r="F201" s="1">
        <v>2611.8398000000002</v>
      </c>
      <c r="G201" s="1">
        <v>1</v>
      </c>
      <c r="H201" s="1">
        <v>1951</v>
      </c>
      <c r="I201" s="1" t="str">
        <f t="shared" si="3"/>
        <v>LADE</v>
      </c>
      <c r="J201">
        <v>1.4762300000000001E-2</v>
      </c>
      <c r="K201">
        <v>6.3767979987490002E-3</v>
      </c>
      <c r="L201">
        <v>-0.51022809999999996</v>
      </c>
    </row>
    <row r="202" spans="3:12" x14ac:dyDescent="0.3">
      <c r="C202" s="1" t="s">
        <v>50</v>
      </c>
      <c r="D202" s="1">
        <v>7.3609</v>
      </c>
      <c r="E202" s="1">
        <v>45.7926</v>
      </c>
      <c r="F202" s="1">
        <v>2611.8398000000002</v>
      </c>
      <c r="G202" s="1">
        <v>1.1499999999999999</v>
      </c>
      <c r="H202" s="1">
        <v>1901</v>
      </c>
      <c r="I202" s="1" t="str">
        <f t="shared" si="3"/>
        <v>LADE</v>
      </c>
      <c r="J202">
        <v>1.4762300000000001E-2</v>
      </c>
      <c r="K202">
        <v>6.3767979987490002E-3</v>
      </c>
      <c r="L202">
        <v>-0.51022809999999996</v>
      </c>
    </row>
    <row r="203" spans="3:12" x14ac:dyDescent="0.3">
      <c r="C203" s="1" t="s">
        <v>50</v>
      </c>
      <c r="D203" s="1">
        <v>7.3609</v>
      </c>
      <c r="E203" s="1">
        <v>45.7926</v>
      </c>
      <c r="F203" s="1">
        <v>2611.8398000000002</v>
      </c>
      <c r="G203" s="1">
        <v>1.3</v>
      </c>
      <c r="H203" s="1">
        <v>2000</v>
      </c>
      <c r="I203" s="1" t="str">
        <f t="shared" si="3"/>
        <v>LADE</v>
      </c>
      <c r="J203">
        <v>1.4762300000000001E-2</v>
      </c>
      <c r="K203">
        <v>6.3767979987490002E-3</v>
      </c>
      <c r="L203">
        <v>-0.51022809999999996</v>
      </c>
    </row>
    <row r="204" spans="3:12" x14ac:dyDescent="0.3">
      <c r="C204" s="1" t="s">
        <v>50</v>
      </c>
      <c r="D204" s="1">
        <v>-119.4324</v>
      </c>
      <c r="E204" s="1">
        <v>37.261499999999899</v>
      </c>
      <c r="F204" s="1">
        <v>1792.5378000000001</v>
      </c>
      <c r="G204" s="1">
        <v>-3.5550000000000002</v>
      </c>
      <c r="H204" s="1">
        <v>1895</v>
      </c>
      <c r="I204" s="1" t="str">
        <f t="shared" si="3"/>
        <v>LADE</v>
      </c>
      <c r="J204">
        <v>1.62414E-2</v>
      </c>
      <c r="K204">
        <v>-8.2698561601E-3</v>
      </c>
      <c r="L204">
        <v>2.8980599999999999E-2</v>
      </c>
    </row>
    <row r="205" spans="3:12" x14ac:dyDescent="0.3">
      <c r="C205" s="1" t="s">
        <v>51</v>
      </c>
      <c r="D205" s="1">
        <v>10.8605</v>
      </c>
      <c r="E205" s="1">
        <v>45.7196</v>
      </c>
      <c r="F205" s="1">
        <v>1367.8629000000001</v>
      </c>
      <c r="G205" s="1">
        <v>1.159</v>
      </c>
      <c r="H205" s="1">
        <v>1989</v>
      </c>
      <c r="I205" s="1" t="str">
        <f t="shared" si="3"/>
        <v>LANO</v>
      </c>
      <c r="J205">
        <v>5.4095999999999997E-3</v>
      </c>
      <c r="K205">
        <v>-8.6163227016889995E-3</v>
      </c>
      <c r="L205">
        <v>-5.6400000000000002E-5</v>
      </c>
    </row>
    <row r="206" spans="3:12" x14ac:dyDescent="0.3">
      <c r="C206" s="1" t="s">
        <v>52</v>
      </c>
      <c r="D206" s="1">
        <v>5.3539166666666702</v>
      </c>
      <c r="E206" s="1">
        <v>45.007733333333299</v>
      </c>
      <c r="F206" s="1">
        <v>761.62267999999995</v>
      </c>
      <c r="G206" s="1">
        <v>-6.1550000000000002</v>
      </c>
      <c r="H206" s="1">
        <v>1905</v>
      </c>
      <c r="I206" s="1" t="str">
        <f t="shared" si="3"/>
        <v>LIVU</v>
      </c>
      <c r="J206">
        <v>1.3298900000000001E-2</v>
      </c>
      <c r="K206">
        <v>-1.2570981863665001E-2</v>
      </c>
      <c r="L206">
        <v>-0.61279859999999997</v>
      </c>
    </row>
    <row r="207" spans="3:12" x14ac:dyDescent="0.3">
      <c r="C207" s="1" t="s">
        <v>52</v>
      </c>
      <c r="D207" s="1">
        <v>7.0965499999999997</v>
      </c>
      <c r="E207" s="1">
        <v>43.006549999999997</v>
      </c>
      <c r="F207" s="1" t="s">
        <v>112</v>
      </c>
      <c r="G207" s="1">
        <v>11.356999999999999</v>
      </c>
      <c r="H207" s="1">
        <v>1981</v>
      </c>
      <c r="I207" s="1" t="str">
        <f t="shared" si="3"/>
        <v>LIVU</v>
      </c>
      <c r="J207" t="s">
        <v>112</v>
      </c>
      <c r="K207" t="s">
        <v>112</v>
      </c>
      <c r="L207" t="s">
        <v>112</v>
      </c>
    </row>
    <row r="208" spans="3:12" x14ac:dyDescent="0.3">
      <c r="C208" s="1" t="s">
        <v>52</v>
      </c>
      <c r="D208" s="1">
        <v>10.8605</v>
      </c>
      <c r="E208" s="1">
        <v>45.7196</v>
      </c>
      <c r="F208" s="1">
        <v>1367.8629000000001</v>
      </c>
      <c r="G208" s="1">
        <v>1.716</v>
      </c>
      <c r="H208" s="1">
        <v>1989</v>
      </c>
      <c r="I208" s="1" t="str">
        <f t="shared" si="3"/>
        <v>LIVU</v>
      </c>
      <c r="J208">
        <v>5.4095999999999997E-3</v>
      </c>
      <c r="K208">
        <v>-8.6163227016889995E-3</v>
      </c>
      <c r="L208">
        <v>-5.6400000000000002E-5</v>
      </c>
    </row>
    <row r="209" spans="3:12" x14ac:dyDescent="0.3">
      <c r="C209" s="1" t="s">
        <v>53</v>
      </c>
      <c r="D209" s="1">
        <v>-119.4324</v>
      </c>
      <c r="E209" s="1">
        <v>37.261499999999899</v>
      </c>
      <c r="F209" s="1">
        <v>1792.5378000000001</v>
      </c>
      <c r="G209" s="1">
        <v>-0.50900000000000001</v>
      </c>
      <c r="H209" s="1">
        <v>1895</v>
      </c>
      <c r="I209" s="1" t="str">
        <f t="shared" si="3"/>
        <v>MALA</v>
      </c>
      <c r="J209">
        <v>1.62414E-2</v>
      </c>
      <c r="K209">
        <v>-8.2698561601E-3</v>
      </c>
      <c r="L209">
        <v>2.8980599999999999E-2</v>
      </c>
    </row>
    <row r="210" spans="3:12" x14ac:dyDescent="0.3">
      <c r="C210" s="1" t="s">
        <v>54</v>
      </c>
      <c r="D210" s="1">
        <v>10.8605</v>
      </c>
      <c r="E210" s="1">
        <v>45.7196</v>
      </c>
      <c r="F210" s="1">
        <v>1367.8629000000001</v>
      </c>
      <c r="G210" s="1">
        <v>6.9130000000000003</v>
      </c>
      <c r="H210" s="1">
        <v>1989</v>
      </c>
      <c r="I210" s="1" t="str">
        <f t="shared" si="3"/>
        <v>MOAL</v>
      </c>
      <c r="J210">
        <v>5.4095999999999997E-3</v>
      </c>
      <c r="K210">
        <v>-8.6163227016889995E-3</v>
      </c>
      <c r="L210">
        <v>-5.6400000000000002E-5</v>
      </c>
    </row>
    <row r="211" spans="3:12" x14ac:dyDescent="0.3">
      <c r="C211" s="1" t="s">
        <v>55</v>
      </c>
      <c r="D211" s="1">
        <v>-119.4324</v>
      </c>
      <c r="E211" s="1">
        <v>37.261499999999899</v>
      </c>
      <c r="F211" s="1">
        <v>1792.5378000000001</v>
      </c>
      <c r="G211" s="1">
        <v>8.8849999999999998</v>
      </c>
      <c r="H211" s="1">
        <v>1895</v>
      </c>
      <c r="I211" s="1" t="str">
        <f t="shared" si="3"/>
        <v>PAMI</v>
      </c>
      <c r="J211">
        <v>1.62414E-2</v>
      </c>
      <c r="K211">
        <v>-8.2698561601E-3</v>
      </c>
      <c r="L211">
        <v>2.8980599999999999E-2</v>
      </c>
    </row>
    <row r="212" spans="3:12" x14ac:dyDescent="0.3">
      <c r="C212" s="1" t="s">
        <v>55</v>
      </c>
      <c r="D212" s="1">
        <v>-119.4324</v>
      </c>
      <c r="E212" s="1">
        <v>37.261499999999899</v>
      </c>
      <c r="F212" s="1">
        <v>1792.5378000000001</v>
      </c>
      <c r="G212" s="1">
        <v>0.436</v>
      </c>
      <c r="H212" s="1">
        <v>1895</v>
      </c>
      <c r="I212" s="1" t="str">
        <f t="shared" si="3"/>
        <v>PAMI</v>
      </c>
      <c r="J212">
        <v>1.62414E-2</v>
      </c>
      <c r="K212">
        <v>-8.2698561601E-3</v>
      </c>
      <c r="L212">
        <v>2.8980599999999999E-2</v>
      </c>
    </row>
    <row r="213" spans="3:12" x14ac:dyDescent="0.3">
      <c r="C213" s="1" t="s">
        <v>56</v>
      </c>
      <c r="D213" s="1">
        <v>-119.4324</v>
      </c>
      <c r="E213" s="1">
        <v>37.261499999999899</v>
      </c>
      <c r="F213" s="1">
        <v>1792.5378000000001</v>
      </c>
      <c r="G213" s="1">
        <v>-1.4610000000000001</v>
      </c>
      <c r="H213" s="1">
        <v>1895</v>
      </c>
      <c r="I213" s="1" t="str">
        <f t="shared" si="3"/>
        <v>PAMY</v>
      </c>
      <c r="J213">
        <v>1.62414E-2</v>
      </c>
      <c r="K213">
        <v>-8.2698561601E-3</v>
      </c>
      <c r="L213">
        <v>2.8980599999999999E-2</v>
      </c>
    </row>
    <row r="214" spans="3:12" x14ac:dyDescent="0.3">
      <c r="C214" s="1" t="s">
        <v>57</v>
      </c>
      <c r="D214" s="1">
        <v>7.0965499999999997</v>
      </c>
      <c r="E214" s="1">
        <v>43.006549999999997</v>
      </c>
      <c r="F214" s="1" t="s">
        <v>112</v>
      </c>
      <c r="G214" s="1">
        <v>-0.35699999999999998</v>
      </c>
      <c r="H214" s="1">
        <v>1981</v>
      </c>
      <c r="I214" s="1" t="str">
        <f t="shared" si="3"/>
        <v>PCAB</v>
      </c>
      <c r="J214" t="s">
        <v>112</v>
      </c>
      <c r="K214" t="s">
        <v>112</v>
      </c>
      <c r="L214" t="s">
        <v>112</v>
      </c>
    </row>
    <row r="215" spans="3:12" x14ac:dyDescent="0.3">
      <c r="C215" s="1" t="s">
        <v>57</v>
      </c>
      <c r="D215" s="1">
        <v>13.4633</v>
      </c>
      <c r="E215" s="1">
        <v>48.921500000000002</v>
      </c>
      <c r="F215" s="1">
        <v>869.87121999999999</v>
      </c>
      <c r="G215" s="1">
        <v>-0.32500000000000001</v>
      </c>
      <c r="H215" s="1">
        <v>1902</v>
      </c>
      <c r="I215" s="1" t="str">
        <f t="shared" si="3"/>
        <v>PCAB</v>
      </c>
      <c r="J215">
        <v>2.1232E-3</v>
      </c>
      <c r="K215">
        <v>-5.7588805503439998E-2</v>
      </c>
      <c r="L215">
        <v>-0.5666291</v>
      </c>
    </row>
    <row r="216" spans="3:12" x14ac:dyDescent="0.3">
      <c r="C216" s="1" t="s">
        <v>57</v>
      </c>
      <c r="D216" s="1">
        <v>19.6858</v>
      </c>
      <c r="E216" s="1">
        <v>48.844700000000003</v>
      </c>
      <c r="F216" s="1">
        <v>701.47131000000002</v>
      </c>
      <c r="G216" s="1">
        <v>7.1999999999999995E-2</v>
      </c>
      <c r="H216" s="1">
        <v>1966</v>
      </c>
      <c r="I216" s="1" t="str">
        <f t="shared" si="3"/>
        <v>PCAB</v>
      </c>
      <c r="J216">
        <v>-1.7639100000000001E-2</v>
      </c>
      <c r="K216">
        <v>-3.2774233896185001E-2</v>
      </c>
      <c r="L216">
        <v>-0.5645559</v>
      </c>
    </row>
    <row r="217" spans="3:12" x14ac:dyDescent="0.3">
      <c r="C217" s="1" t="s">
        <v>57</v>
      </c>
      <c r="D217" s="1">
        <v>19.6858</v>
      </c>
      <c r="E217" s="1">
        <v>48.844700000000003</v>
      </c>
      <c r="F217" s="1">
        <v>701.47131000000002</v>
      </c>
      <c r="G217" s="1">
        <v>0.59399999999999997</v>
      </c>
      <c r="H217" s="1">
        <v>1966</v>
      </c>
      <c r="I217" s="1" t="str">
        <f t="shared" si="3"/>
        <v>PCAB</v>
      </c>
      <c r="J217">
        <v>-1.7639100000000001E-2</v>
      </c>
      <c r="K217">
        <v>-3.2774233896185001E-2</v>
      </c>
      <c r="L217">
        <v>-0.5645559</v>
      </c>
    </row>
    <row r="218" spans="3:12" x14ac:dyDescent="0.3">
      <c r="C218" s="1" t="s">
        <v>57</v>
      </c>
      <c r="D218" s="1">
        <v>13.8377</v>
      </c>
      <c r="E218" s="1">
        <v>62.2349999999999</v>
      </c>
      <c r="F218" s="1">
        <v>402.63736</v>
      </c>
      <c r="G218" s="1">
        <v>0.78</v>
      </c>
      <c r="H218" s="1">
        <v>1915</v>
      </c>
      <c r="I218" s="1" t="str">
        <f t="shared" si="3"/>
        <v>PCAB</v>
      </c>
      <c r="J218">
        <v>7.2732999999999999E-3</v>
      </c>
      <c r="K218">
        <v>3.5175422138837002E-2</v>
      </c>
      <c r="L218">
        <v>-0.40224520000000002</v>
      </c>
    </row>
    <row r="219" spans="3:12" x14ac:dyDescent="0.3">
      <c r="C219" s="1" t="s">
        <v>57</v>
      </c>
      <c r="D219" s="1">
        <v>13.8377</v>
      </c>
      <c r="E219" s="1">
        <v>62.2349999999999</v>
      </c>
      <c r="F219" s="1">
        <v>402.63736</v>
      </c>
      <c r="G219" s="1">
        <v>0.98</v>
      </c>
      <c r="H219" s="1">
        <v>1915</v>
      </c>
      <c r="I219" s="1" t="str">
        <f t="shared" si="3"/>
        <v>PCAB</v>
      </c>
      <c r="J219">
        <v>7.2732999999999999E-3</v>
      </c>
      <c r="K219">
        <v>3.5175422138837002E-2</v>
      </c>
      <c r="L219">
        <v>-0.40224520000000002</v>
      </c>
    </row>
    <row r="220" spans="3:12" x14ac:dyDescent="0.3">
      <c r="C220" s="1" t="s">
        <v>57</v>
      </c>
      <c r="D220" s="1">
        <v>19.6858</v>
      </c>
      <c r="E220" s="1">
        <v>48.844700000000003</v>
      </c>
      <c r="F220" s="1">
        <v>701.47131000000002</v>
      </c>
      <c r="G220" s="1">
        <v>1.319</v>
      </c>
      <c r="H220" s="1">
        <v>1966</v>
      </c>
      <c r="I220" s="1" t="str">
        <f t="shared" si="3"/>
        <v>PCAB</v>
      </c>
      <c r="J220">
        <v>-1.7639100000000001E-2</v>
      </c>
      <c r="K220">
        <v>-3.2774233896185001E-2</v>
      </c>
      <c r="L220">
        <v>-0.5645559</v>
      </c>
    </row>
    <row r="221" spans="3:12" x14ac:dyDescent="0.3">
      <c r="C221" s="1" t="s">
        <v>57</v>
      </c>
      <c r="D221" s="1">
        <v>13.8377</v>
      </c>
      <c r="E221" s="1">
        <v>62.2349999999999</v>
      </c>
      <c r="F221" s="1">
        <v>402.63736</v>
      </c>
      <c r="G221" s="1">
        <v>1.34</v>
      </c>
      <c r="H221" s="1">
        <v>1975</v>
      </c>
      <c r="I221" s="1" t="str">
        <f t="shared" si="3"/>
        <v>PCAB</v>
      </c>
      <c r="J221">
        <v>7.2732999999999999E-3</v>
      </c>
      <c r="K221">
        <v>3.5175422138837002E-2</v>
      </c>
      <c r="L221">
        <v>-0.40224520000000002</v>
      </c>
    </row>
    <row r="222" spans="3:12" x14ac:dyDescent="0.3">
      <c r="C222" s="1" t="s">
        <v>57</v>
      </c>
      <c r="D222" s="1">
        <v>13.0769</v>
      </c>
      <c r="E222" s="1">
        <v>63.4405</v>
      </c>
      <c r="F222" s="1">
        <v>1097.6077</v>
      </c>
      <c r="G222" s="1">
        <v>4.7060000000000004</v>
      </c>
      <c r="H222" s="1">
        <v>1948</v>
      </c>
      <c r="I222" s="1" t="str">
        <f t="shared" si="3"/>
        <v>PCAB</v>
      </c>
      <c r="J222">
        <v>7.0419000000000002E-3</v>
      </c>
      <c r="K222">
        <v>2.6615071919949999E-2</v>
      </c>
      <c r="L222">
        <v>-0.1774985</v>
      </c>
    </row>
    <row r="223" spans="3:12" x14ac:dyDescent="0.3">
      <c r="C223" s="1" t="s">
        <v>57</v>
      </c>
      <c r="D223" s="1">
        <v>10.8605</v>
      </c>
      <c r="E223" s="1">
        <v>45.7196</v>
      </c>
      <c r="F223" s="1">
        <v>1367.8629000000001</v>
      </c>
      <c r="G223" s="1">
        <v>6.5359999999999996</v>
      </c>
      <c r="H223" s="1">
        <v>1989</v>
      </c>
      <c r="I223" s="1" t="str">
        <f t="shared" si="3"/>
        <v>PCAB</v>
      </c>
      <c r="J223">
        <v>5.4095999999999997E-3</v>
      </c>
      <c r="K223">
        <v>-8.6163227016889995E-3</v>
      </c>
      <c r="L223">
        <v>-5.6400000000000002E-5</v>
      </c>
    </row>
    <row r="224" spans="3:12" x14ac:dyDescent="0.3">
      <c r="C224" s="1" t="s">
        <v>58</v>
      </c>
      <c r="D224" s="1">
        <v>-139.500599999999</v>
      </c>
      <c r="E224" s="1">
        <v>61.474400000000003</v>
      </c>
      <c r="F224" s="1">
        <v>1486.2603999999999</v>
      </c>
      <c r="G224" s="1">
        <v>0.23499999999999999</v>
      </c>
      <c r="H224" s="1">
        <v>1947</v>
      </c>
      <c r="I224" s="1" t="str">
        <f t="shared" si="3"/>
        <v>PCGL</v>
      </c>
      <c r="J224">
        <v>3.1300999999999998E-3</v>
      </c>
      <c r="K224">
        <v>5.1926516572858003E-2</v>
      </c>
      <c r="L224">
        <v>0.20143220000000001</v>
      </c>
    </row>
    <row r="225" spans="3:12" x14ac:dyDescent="0.3">
      <c r="C225" s="1" t="s">
        <v>58</v>
      </c>
      <c r="D225" s="1">
        <v>-71.156700000000001</v>
      </c>
      <c r="E225" s="1">
        <v>45.460099999999898</v>
      </c>
      <c r="F225" s="1">
        <v>901.67474000000004</v>
      </c>
      <c r="G225" s="1">
        <v>1.9770000000000001</v>
      </c>
      <c r="H225" s="1">
        <v>1970</v>
      </c>
      <c r="I225" s="1" t="str">
        <f t="shared" si="3"/>
        <v>PCGL</v>
      </c>
      <c r="J225">
        <v>6.8230000000000001E-3</v>
      </c>
      <c r="K225">
        <v>1.2881801125703999E-2</v>
      </c>
      <c r="L225">
        <v>0.35348039999999997</v>
      </c>
    </row>
    <row r="226" spans="3:12" x14ac:dyDescent="0.3">
      <c r="C226" s="1" t="s">
        <v>58</v>
      </c>
      <c r="D226" s="1">
        <v>-150.05869999999899</v>
      </c>
      <c r="E226" s="1">
        <v>63.596200000000003</v>
      </c>
      <c r="F226" s="1">
        <v>816.00653</v>
      </c>
      <c r="G226" s="1">
        <v>2.83</v>
      </c>
      <c r="H226" s="1">
        <v>1953</v>
      </c>
      <c r="I226" s="1" t="str">
        <f t="shared" si="3"/>
        <v>PCGL</v>
      </c>
      <c r="J226">
        <v>1.45497E-2</v>
      </c>
      <c r="K226">
        <v>1.3266416510319E-2</v>
      </c>
      <c r="L226">
        <v>-8.9962500000000001E-2</v>
      </c>
    </row>
    <row r="227" spans="3:12" x14ac:dyDescent="0.3">
      <c r="C227" s="1" t="s">
        <v>59</v>
      </c>
      <c r="D227" s="1">
        <v>-71.156700000000001</v>
      </c>
      <c r="E227" s="1">
        <v>45.460099999999898</v>
      </c>
      <c r="F227" s="1">
        <v>901.67474000000004</v>
      </c>
      <c r="G227" s="1">
        <v>7.0000000000000007E-2</v>
      </c>
      <c r="H227" s="1">
        <v>1970</v>
      </c>
      <c r="I227" s="1" t="str">
        <f t="shared" si="3"/>
        <v>PCRU</v>
      </c>
      <c r="J227">
        <v>6.8230000000000001E-3</v>
      </c>
      <c r="K227">
        <v>1.2881801125703999E-2</v>
      </c>
      <c r="L227">
        <v>0.35348039999999997</v>
      </c>
    </row>
    <row r="228" spans="3:12" x14ac:dyDescent="0.3">
      <c r="C228" s="1" t="s">
        <v>60</v>
      </c>
      <c r="D228" s="1">
        <v>-119.4324</v>
      </c>
      <c r="E228" s="1">
        <v>37.261499999999899</v>
      </c>
      <c r="F228" s="1">
        <v>1792.5378000000001</v>
      </c>
      <c r="G228" s="1">
        <v>-3.0419999999999998</v>
      </c>
      <c r="H228" s="1">
        <v>1895</v>
      </c>
      <c r="I228" s="1" t="str">
        <f t="shared" si="3"/>
        <v>PIMO</v>
      </c>
      <c r="J228">
        <v>1.62414E-2</v>
      </c>
      <c r="K228">
        <v>-8.2698561601E-3</v>
      </c>
      <c r="L228">
        <v>2.8980599999999999E-2</v>
      </c>
    </row>
    <row r="229" spans="3:12" x14ac:dyDescent="0.3">
      <c r="C229" s="1" t="s">
        <v>60</v>
      </c>
      <c r="D229" s="1">
        <v>-119.4324</v>
      </c>
      <c r="E229" s="1">
        <v>37.261499999999899</v>
      </c>
      <c r="F229" s="1">
        <v>1792.5378000000001</v>
      </c>
      <c r="G229" s="1">
        <v>-2.4510000000000001</v>
      </c>
      <c r="H229" s="1">
        <v>1895</v>
      </c>
      <c r="I229" s="1" t="str">
        <f t="shared" si="3"/>
        <v>PIMO</v>
      </c>
      <c r="J229">
        <v>1.62414E-2</v>
      </c>
      <c r="K229">
        <v>-8.2698561601E-3</v>
      </c>
      <c r="L229">
        <v>2.8980599999999999E-2</v>
      </c>
    </row>
    <row r="230" spans="3:12" x14ac:dyDescent="0.3">
      <c r="C230" s="1" t="s">
        <v>60</v>
      </c>
      <c r="D230" s="1">
        <v>-119.4324</v>
      </c>
      <c r="E230" s="1">
        <v>37.261499999999899</v>
      </c>
      <c r="F230" s="1">
        <v>1792.5378000000001</v>
      </c>
      <c r="G230" s="1">
        <v>1.6739999999999999</v>
      </c>
      <c r="H230" s="1">
        <v>1895</v>
      </c>
      <c r="I230" s="1" t="str">
        <f t="shared" si="3"/>
        <v>PIMO</v>
      </c>
      <c r="J230">
        <v>1.62414E-2</v>
      </c>
      <c r="K230">
        <v>-8.2698561601E-3</v>
      </c>
      <c r="L230">
        <v>2.8980599999999999E-2</v>
      </c>
    </row>
    <row r="231" spans="3:12" x14ac:dyDescent="0.3">
      <c r="C231" s="1" t="s">
        <v>61</v>
      </c>
      <c r="D231" s="1">
        <v>10.8605</v>
      </c>
      <c r="E231" s="1">
        <v>45.7196</v>
      </c>
      <c r="F231" s="1">
        <v>1367.8629000000001</v>
      </c>
      <c r="G231" s="1">
        <v>2.5710000000000002</v>
      </c>
      <c r="H231" s="1">
        <v>1989</v>
      </c>
      <c r="I231" s="1" t="str">
        <f t="shared" si="3"/>
        <v>PIAL</v>
      </c>
      <c r="J231">
        <v>5.4095999999999997E-3</v>
      </c>
      <c r="K231">
        <v>-8.6163227016889995E-3</v>
      </c>
      <c r="L231">
        <v>-5.6400000000000002E-5</v>
      </c>
    </row>
    <row r="232" spans="3:12" x14ac:dyDescent="0.3">
      <c r="C232" s="1" t="s">
        <v>62</v>
      </c>
      <c r="D232" s="1">
        <v>120.99590000000001</v>
      </c>
      <c r="E232" s="1">
        <v>23.674499999999899</v>
      </c>
      <c r="F232" s="1">
        <v>1530.4131</v>
      </c>
      <c r="G232" s="1">
        <v>4.9530000000000003</v>
      </c>
      <c r="H232" s="1">
        <v>1939</v>
      </c>
      <c r="I232" s="1" t="str">
        <f t="shared" si="3"/>
        <v>PINI</v>
      </c>
      <c r="J232">
        <v>8.2176000000000003E-3</v>
      </c>
      <c r="K232">
        <v>4.0384615384619999E-3</v>
      </c>
      <c r="L232">
        <v>-4.5991400000000002E-2</v>
      </c>
    </row>
    <row r="233" spans="3:12" x14ac:dyDescent="0.3">
      <c r="C233" s="1" t="s">
        <v>61</v>
      </c>
      <c r="D233" s="1">
        <v>10.8605</v>
      </c>
      <c r="E233" s="1">
        <v>45.7196</v>
      </c>
      <c r="F233" s="1">
        <v>1367.8629000000001</v>
      </c>
      <c r="G233" s="1">
        <v>-3.1739999999999999</v>
      </c>
      <c r="H233" s="1">
        <v>1989</v>
      </c>
      <c r="I233" s="1" t="str">
        <f t="shared" si="3"/>
        <v>PIAL</v>
      </c>
      <c r="J233">
        <v>5.4095999999999997E-3</v>
      </c>
      <c r="K233">
        <v>-8.6163227016889995E-3</v>
      </c>
      <c r="L233">
        <v>-5.6400000000000002E-5</v>
      </c>
    </row>
    <row r="234" spans="3:12" x14ac:dyDescent="0.3">
      <c r="C234" s="1" t="s">
        <v>61</v>
      </c>
      <c r="D234" s="1">
        <v>-119.4324</v>
      </c>
      <c r="E234" s="1">
        <v>37.261499999999899</v>
      </c>
      <c r="F234" s="1">
        <v>1792.5378000000001</v>
      </c>
      <c r="G234" s="1">
        <v>-2.952</v>
      </c>
      <c r="H234" s="1">
        <v>1895</v>
      </c>
      <c r="I234" s="1" t="str">
        <f t="shared" si="3"/>
        <v>PIAL</v>
      </c>
      <c r="J234">
        <v>1.62414E-2</v>
      </c>
      <c r="K234">
        <v>-8.2698561601E-3</v>
      </c>
      <c r="L234">
        <v>2.8980599999999999E-2</v>
      </c>
    </row>
    <row r="235" spans="3:12" x14ac:dyDescent="0.3">
      <c r="C235" s="1" t="s">
        <v>63</v>
      </c>
      <c r="D235" s="1">
        <v>5.3539166666666702</v>
      </c>
      <c r="E235" s="1">
        <v>45.007733333333299</v>
      </c>
      <c r="F235" s="1">
        <v>761.62267999999995</v>
      </c>
      <c r="G235" s="1">
        <v>2.2909999999999999</v>
      </c>
      <c r="H235" s="1">
        <v>1905</v>
      </c>
      <c r="I235" s="1" t="str">
        <f t="shared" si="3"/>
        <v>PICE</v>
      </c>
      <c r="J235">
        <v>1.3298900000000001E-2</v>
      </c>
      <c r="K235">
        <v>-1.2570981863665001E-2</v>
      </c>
      <c r="L235">
        <v>-0.61279859999999997</v>
      </c>
    </row>
    <row r="236" spans="3:12" x14ac:dyDescent="0.3">
      <c r="C236" s="1" t="s">
        <v>64</v>
      </c>
      <c r="D236" s="1">
        <v>-120.3503</v>
      </c>
      <c r="E236" s="1">
        <v>39.061799999999899</v>
      </c>
      <c r="F236" s="1">
        <v>1967.6869999999999</v>
      </c>
      <c r="G236" s="1">
        <v>-0.56100000000000005</v>
      </c>
      <c r="H236" s="1">
        <v>1934</v>
      </c>
      <c r="I236" s="1" t="str">
        <f t="shared" si="3"/>
        <v>PICO</v>
      </c>
      <c r="J236">
        <v>1.9990600000000001E-2</v>
      </c>
      <c r="K236">
        <v>-3.4824577861162997E-2</v>
      </c>
      <c r="L236">
        <v>5.3423999999999999E-2</v>
      </c>
    </row>
    <row r="237" spans="3:12" x14ac:dyDescent="0.3">
      <c r="C237" s="1" t="s">
        <v>64</v>
      </c>
      <c r="D237" s="1">
        <v>-119.4324</v>
      </c>
      <c r="E237" s="1">
        <v>37.261499999999899</v>
      </c>
      <c r="F237" s="1">
        <v>1792.5378000000001</v>
      </c>
      <c r="G237" s="1">
        <v>0.79500000000000004</v>
      </c>
      <c r="H237" s="1">
        <v>1895</v>
      </c>
      <c r="I237" s="1" t="str">
        <f t="shared" si="3"/>
        <v>PICO</v>
      </c>
      <c r="J237">
        <v>1.62414E-2</v>
      </c>
      <c r="K237">
        <v>-8.2698561601E-3</v>
      </c>
      <c r="L237">
        <v>2.8980599999999999E-2</v>
      </c>
    </row>
    <row r="238" spans="3:12" x14ac:dyDescent="0.3">
      <c r="C238" s="1" t="s">
        <v>64</v>
      </c>
      <c r="D238" s="1">
        <v>-120.3503</v>
      </c>
      <c r="E238" s="1">
        <v>39.061799999999899</v>
      </c>
      <c r="F238" s="1">
        <v>1967.6869999999999</v>
      </c>
      <c r="G238" s="1">
        <v>0.95499999999999996</v>
      </c>
      <c r="H238" s="1">
        <v>1934</v>
      </c>
      <c r="I238" s="1" t="str">
        <f t="shared" si="3"/>
        <v>PICO</v>
      </c>
      <c r="J238">
        <v>1.9990600000000001E-2</v>
      </c>
      <c r="K238">
        <v>-3.4824577861162997E-2</v>
      </c>
      <c r="L238">
        <v>5.3423999999999999E-2</v>
      </c>
    </row>
    <row r="239" spans="3:12" x14ac:dyDescent="0.3">
      <c r="C239" s="1" t="s">
        <v>64</v>
      </c>
      <c r="D239" s="1">
        <v>-120.3503</v>
      </c>
      <c r="E239" s="1">
        <v>39.061799999999899</v>
      </c>
      <c r="F239" s="1">
        <v>1967.6869999999999</v>
      </c>
      <c r="G239" s="1">
        <v>1.1970000000000001</v>
      </c>
      <c r="H239" s="1">
        <v>1934</v>
      </c>
      <c r="I239" s="1" t="str">
        <f t="shared" si="3"/>
        <v>PICO</v>
      </c>
      <c r="J239">
        <v>1.9990600000000001E-2</v>
      </c>
      <c r="K239">
        <v>-3.4824577861162997E-2</v>
      </c>
      <c r="L239">
        <v>5.3423999999999999E-2</v>
      </c>
    </row>
    <row r="240" spans="3:12" x14ac:dyDescent="0.3">
      <c r="C240" s="1" t="s">
        <v>64</v>
      </c>
      <c r="D240" s="1">
        <v>-119.4324</v>
      </c>
      <c r="E240" s="1">
        <v>37.261499999999899</v>
      </c>
      <c r="F240" s="1">
        <v>1792.5378000000001</v>
      </c>
      <c r="G240" s="1">
        <v>3.0529999999999999</v>
      </c>
      <c r="H240" s="1">
        <v>1895</v>
      </c>
      <c r="I240" s="1" t="str">
        <f t="shared" si="3"/>
        <v>PICO</v>
      </c>
      <c r="J240">
        <v>1.62414E-2</v>
      </c>
      <c r="K240">
        <v>-8.2698561601E-3</v>
      </c>
      <c r="L240">
        <v>2.8980599999999999E-2</v>
      </c>
    </row>
    <row r="241" spans="3:12" x14ac:dyDescent="0.3">
      <c r="C241" s="1" t="s">
        <v>64</v>
      </c>
      <c r="D241" s="1">
        <v>-119.4324</v>
      </c>
      <c r="E241" s="1">
        <v>37.261499999999899</v>
      </c>
      <c r="F241" s="1">
        <v>1792.5378000000001</v>
      </c>
      <c r="G241" s="1">
        <v>0.73899999999999999</v>
      </c>
      <c r="H241" s="1">
        <v>1895</v>
      </c>
      <c r="I241" s="1" t="str">
        <f t="shared" si="3"/>
        <v>PICO</v>
      </c>
      <c r="J241">
        <v>1.62414E-2</v>
      </c>
      <c r="K241">
        <v>-8.2698561601E-3</v>
      </c>
      <c r="L241">
        <v>2.8980599999999999E-2</v>
      </c>
    </row>
    <row r="242" spans="3:12" x14ac:dyDescent="0.3">
      <c r="C242" s="1" t="s">
        <v>65</v>
      </c>
      <c r="D242" s="1">
        <v>-119.4324</v>
      </c>
      <c r="E242" s="1">
        <v>37.261499999999899</v>
      </c>
      <c r="F242" s="1">
        <v>1792.5378000000001</v>
      </c>
      <c r="G242" s="1">
        <v>1.0669999999999999</v>
      </c>
      <c r="H242" s="1">
        <v>1895</v>
      </c>
      <c r="I242" s="1" t="str">
        <f t="shared" si="3"/>
        <v>PIFL</v>
      </c>
      <c r="J242">
        <v>1.62414E-2</v>
      </c>
      <c r="K242">
        <v>-8.2698561601E-3</v>
      </c>
      <c r="L242">
        <v>2.8980599999999999E-2</v>
      </c>
    </row>
    <row r="243" spans="3:12" x14ac:dyDescent="0.3">
      <c r="C243" s="1" t="s">
        <v>66</v>
      </c>
      <c r="D243" s="1">
        <v>7.0965499999999997</v>
      </c>
      <c r="E243" s="1">
        <v>43.006549999999997</v>
      </c>
      <c r="F243" s="1" t="s">
        <v>112</v>
      </c>
      <c r="G243" s="1">
        <v>-0.5</v>
      </c>
      <c r="H243" s="1">
        <v>1981</v>
      </c>
      <c r="I243" s="1" t="str">
        <f t="shared" si="3"/>
        <v>PIHA</v>
      </c>
      <c r="J243" t="s">
        <v>112</v>
      </c>
      <c r="K243" t="s">
        <v>112</v>
      </c>
      <c r="L243" t="s">
        <v>112</v>
      </c>
    </row>
    <row r="244" spans="3:12" x14ac:dyDescent="0.3">
      <c r="C244" s="1" t="s">
        <v>60</v>
      </c>
      <c r="D244" s="1">
        <v>-119.4324</v>
      </c>
      <c r="E244" s="1">
        <v>37.261499999999899</v>
      </c>
      <c r="F244" s="1">
        <v>1792.5378000000001</v>
      </c>
      <c r="G244" s="1">
        <v>4.0140000000000002</v>
      </c>
      <c r="H244" s="1">
        <v>1895</v>
      </c>
      <c r="I244" s="1" t="str">
        <f t="shared" si="3"/>
        <v>PIMO</v>
      </c>
      <c r="J244">
        <v>1.62414E-2</v>
      </c>
      <c r="K244">
        <v>-8.2698561601E-3</v>
      </c>
      <c r="L244">
        <v>2.8980599999999999E-2</v>
      </c>
    </row>
    <row r="245" spans="3:12" x14ac:dyDescent="0.3">
      <c r="C245" s="1" t="s">
        <v>60</v>
      </c>
      <c r="D245" s="1">
        <v>-121.3335</v>
      </c>
      <c r="E245" s="1">
        <v>38.500700000000002</v>
      </c>
      <c r="F245" s="1">
        <v>17.796066</v>
      </c>
      <c r="G245" s="1">
        <v>-5.8630000000000004</v>
      </c>
      <c r="H245" s="1">
        <v>1930</v>
      </c>
      <c r="I245" s="1" t="str">
        <f t="shared" si="3"/>
        <v>PIMO</v>
      </c>
      <c r="J245">
        <v>7.2951999999999999E-3</v>
      </c>
      <c r="K245">
        <v>4.4734208880549998E-3</v>
      </c>
      <c r="L245">
        <v>3.0206E-3</v>
      </c>
    </row>
    <row r="246" spans="3:12" x14ac:dyDescent="0.3">
      <c r="C246" s="1" t="s">
        <v>60</v>
      </c>
      <c r="D246" s="1">
        <v>-119.4324</v>
      </c>
      <c r="E246" s="1">
        <v>37.261499999999899</v>
      </c>
      <c r="F246" s="1">
        <v>1792.5378000000001</v>
      </c>
      <c r="G246" s="1">
        <v>-3.2639999999999998</v>
      </c>
      <c r="H246" s="1">
        <v>1895</v>
      </c>
      <c r="I246" s="1" t="str">
        <f t="shared" si="3"/>
        <v>PIMO</v>
      </c>
      <c r="J246">
        <v>1.62414E-2</v>
      </c>
      <c r="K246">
        <v>-8.2698561601E-3</v>
      </c>
      <c r="L246">
        <v>2.8980599999999999E-2</v>
      </c>
    </row>
    <row r="247" spans="3:12" x14ac:dyDescent="0.3">
      <c r="C247" s="1" t="s">
        <v>60</v>
      </c>
      <c r="D247" s="1">
        <v>-120.3503</v>
      </c>
      <c r="E247" s="1">
        <v>39.061799999999899</v>
      </c>
      <c r="F247" s="1">
        <v>1967.6869999999999</v>
      </c>
      <c r="G247" s="1">
        <v>0.80300000000000005</v>
      </c>
      <c r="H247" s="1">
        <v>1934</v>
      </c>
      <c r="I247" s="1" t="str">
        <f t="shared" si="3"/>
        <v>PIMO</v>
      </c>
      <c r="J247">
        <v>1.9990600000000001E-2</v>
      </c>
      <c r="K247">
        <v>-3.4824577861162997E-2</v>
      </c>
      <c r="L247">
        <v>5.3423999999999999E-2</v>
      </c>
    </row>
    <row r="248" spans="3:12" x14ac:dyDescent="0.3">
      <c r="C248" s="1" t="s">
        <v>60</v>
      </c>
      <c r="D248" s="1">
        <v>-120.3503</v>
      </c>
      <c r="E248" s="1">
        <v>39.061799999999899</v>
      </c>
      <c r="F248" s="1">
        <v>1967.6869999999999</v>
      </c>
      <c r="G248" s="1">
        <v>1.427</v>
      </c>
      <c r="H248" s="1">
        <v>1934</v>
      </c>
      <c r="I248" s="1" t="str">
        <f t="shared" si="3"/>
        <v>PIMO</v>
      </c>
      <c r="J248">
        <v>1.9990600000000001E-2</v>
      </c>
      <c r="K248">
        <v>-3.4824577861162997E-2</v>
      </c>
      <c r="L248">
        <v>5.3423999999999999E-2</v>
      </c>
    </row>
    <row r="249" spans="3:12" x14ac:dyDescent="0.3">
      <c r="C249" s="1" t="s">
        <v>60</v>
      </c>
      <c r="D249" s="1">
        <v>-120.3503</v>
      </c>
      <c r="E249" s="1">
        <v>39.061799999999899</v>
      </c>
      <c r="F249" s="1">
        <v>1967.6869999999999</v>
      </c>
      <c r="G249" s="1">
        <v>1.86</v>
      </c>
      <c r="H249" s="1">
        <v>1934</v>
      </c>
      <c r="I249" s="1" t="str">
        <f t="shared" si="3"/>
        <v>PIMO</v>
      </c>
      <c r="J249">
        <v>1.9990600000000001E-2</v>
      </c>
      <c r="K249">
        <v>-3.4824577861162997E-2</v>
      </c>
      <c r="L249">
        <v>5.3423999999999999E-2</v>
      </c>
    </row>
    <row r="250" spans="3:12" x14ac:dyDescent="0.3">
      <c r="C250" s="1" t="s">
        <v>62</v>
      </c>
      <c r="D250" s="1">
        <v>7.0965499999999997</v>
      </c>
      <c r="E250" s="1">
        <v>43.006549999999997</v>
      </c>
      <c r="F250" s="1" t="s">
        <v>112</v>
      </c>
      <c r="G250" s="1">
        <v>-5.3570000000000002</v>
      </c>
      <c r="H250" s="1">
        <v>1981</v>
      </c>
      <c r="I250" s="1" t="str">
        <f t="shared" si="3"/>
        <v>PINI</v>
      </c>
      <c r="J250" t="s">
        <v>112</v>
      </c>
      <c r="K250" t="s">
        <v>112</v>
      </c>
      <c r="L250" t="s">
        <v>112</v>
      </c>
    </row>
    <row r="251" spans="3:12" x14ac:dyDescent="0.3">
      <c r="C251" s="1" t="s">
        <v>62</v>
      </c>
      <c r="D251" s="1">
        <v>10.8605</v>
      </c>
      <c r="E251" s="1">
        <v>45.7196</v>
      </c>
      <c r="F251" s="1">
        <v>1367.8629000000001</v>
      </c>
      <c r="G251" s="1">
        <v>-3.1139999999999999</v>
      </c>
      <c r="H251" s="1">
        <v>1989</v>
      </c>
      <c r="I251" s="1" t="str">
        <f t="shared" si="3"/>
        <v>PINI</v>
      </c>
      <c r="J251">
        <v>5.4095999999999997E-3</v>
      </c>
      <c r="K251">
        <v>-8.6163227016889995E-3</v>
      </c>
      <c r="L251">
        <v>-5.6400000000000002E-5</v>
      </c>
    </row>
    <row r="252" spans="3:12" x14ac:dyDescent="0.3">
      <c r="C252" s="1" t="s">
        <v>62</v>
      </c>
      <c r="D252" s="1">
        <v>7.0965499999999997</v>
      </c>
      <c r="E252" s="1">
        <v>43.006549999999997</v>
      </c>
      <c r="F252" s="1" t="s">
        <v>112</v>
      </c>
      <c r="G252" s="1">
        <v>1.071</v>
      </c>
      <c r="H252" s="1">
        <v>1981</v>
      </c>
      <c r="I252" s="1" t="str">
        <f t="shared" si="3"/>
        <v>PINI</v>
      </c>
      <c r="J252" t="s">
        <v>112</v>
      </c>
      <c r="K252" t="s">
        <v>112</v>
      </c>
      <c r="L252" t="s">
        <v>112</v>
      </c>
    </row>
    <row r="253" spans="3:12" x14ac:dyDescent="0.3">
      <c r="C253" s="1" t="s">
        <v>67</v>
      </c>
      <c r="D253" s="1">
        <v>7.0965499999999997</v>
      </c>
      <c r="E253" s="1">
        <v>43.006549999999997</v>
      </c>
      <c r="F253" s="1" t="s">
        <v>112</v>
      </c>
      <c r="G253" s="1">
        <v>0.64300000000000002</v>
      </c>
      <c r="H253" s="1">
        <v>1981</v>
      </c>
      <c r="I253" s="1" t="str">
        <f t="shared" si="3"/>
        <v>PIPI</v>
      </c>
      <c r="J253" t="s">
        <v>112</v>
      </c>
      <c r="K253" t="s">
        <v>112</v>
      </c>
      <c r="L253" t="s">
        <v>112</v>
      </c>
    </row>
    <row r="254" spans="3:12" x14ac:dyDescent="0.3">
      <c r="C254" s="1" t="s">
        <v>68</v>
      </c>
      <c r="D254" s="1">
        <v>-120.3503</v>
      </c>
      <c r="E254" s="1">
        <v>39.061799999999899</v>
      </c>
      <c r="F254" s="1">
        <v>1967.6869999999999</v>
      </c>
      <c r="G254" s="1">
        <v>0</v>
      </c>
      <c r="H254" s="1">
        <v>1934</v>
      </c>
      <c r="I254" s="1" t="str">
        <f t="shared" si="3"/>
        <v>PIPO</v>
      </c>
      <c r="J254">
        <v>1.9990600000000001E-2</v>
      </c>
      <c r="K254">
        <v>-3.4824577861162997E-2</v>
      </c>
      <c r="L254">
        <v>5.3423999999999999E-2</v>
      </c>
    </row>
    <row r="255" spans="3:12" x14ac:dyDescent="0.3">
      <c r="C255" s="1" t="s">
        <v>68</v>
      </c>
      <c r="D255" s="1">
        <v>-119.4324</v>
      </c>
      <c r="E255" s="1">
        <v>37.261499999999899</v>
      </c>
      <c r="F255" s="1">
        <v>1792.5378000000001</v>
      </c>
      <c r="G255" s="1">
        <v>0.57799999999999996</v>
      </c>
      <c r="H255" s="1">
        <v>1895</v>
      </c>
      <c r="I255" s="1" t="str">
        <f t="shared" si="3"/>
        <v>PIPO</v>
      </c>
      <c r="J255">
        <v>1.62414E-2</v>
      </c>
      <c r="K255">
        <v>-8.2698561601E-3</v>
      </c>
      <c r="L255">
        <v>2.8980599999999999E-2</v>
      </c>
    </row>
    <row r="256" spans="3:12" x14ac:dyDescent="0.3">
      <c r="C256" s="1" t="s">
        <v>68</v>
      </c>
      <c r="D256" s="1">
        <v>-121.3335</v>
      </c>
      <c r="E256" s="1">
        <v>38.500700000000002</v>
      </c>
      <c r="F256" s="1">
        <v>17.796066</v>
      </c>
      <c r="G256" s="1">
        <v>0.997</v>
      </c>
      <c r="H256" s="1">
        <v>1930</v>
      </c>
      <c r="I256" s="1" t="str">
        <f t="shared" si="3"/>
        <v>PIPO</v>
      </c>
      <c r="J256">
        <v>7.2951999999999999E-3</v>
      </c>
      <c r="K256">
        <v>4.4734208880549998E-3</v>
      </c>
      <c r="L256">
        <v>3.0206E-3</v>
      </c>
    </row>
    <row r="257" spans="3:12" x14ac:dyDescent="0.3">
      <c r="C257" s="1" t="s">
        <v>69</v>
      </c>
      <c r="D257" s="1">
        <v>2.0886</v>
      </c>
      <c r="E257" s="1">
        <v>46.670499999999898</v>
      </c>
      <c r="F257" s="1">
        <v>264.83069</v>
      </c>
      <c r="G257" s="1">
        <v>-0.86199999999999999</v>
      </c>
      <c r="H257" s="1">
        <v>1914</v>
      </c>
      <c r="I257" s="1" t="str">
        <f t="shared" si="3"/>
        <v>PISY</v>
      </c>
      <c r="J257">
        <v>1.49062E-2</v>
      </c>
      <c r="K257">
        <v>3.8769856160100001E-2</v>
      </c>
      <c r="L257">
        <v>-0.25414009999999998</v>
      </c>
    </row>
    <row r="258" spans="3:12" x14ac:dyDescent="0.3">
      <c r="C258" s="1" t="s">
        <v>69</v>
      </c>
      <c r="D258" s="1">
        <v>7.0965499999999997</v>
      </c>
      <c r="E258" s="1">
        <v>43.006549999999997</v>
      </c>
      <c r="F258" s="1" t="s">
        <v>112</v>
      </c>
      <c r="G258" s="1">
        <v>-0.85699999999999998</v>
      </c>
      <c r="H258" s="1">
        <v>1981</v>
      </c>
      <c r="I258" s="1" t="str">
        <f t="shared" si="3"/>
        <v>PISY</v>
      </c>
      <c r="J258" t="s">
        <v>112</v>
      </c>
      <c r="K258" t="s">
        <v>112</v>
      </c>
      <c r="L258" t="s">
        <v>112</v>
      </c>
    </row>
    <row r="259" spans="3:12" x14ac:dyDescent="0.3">
      <c r="C259" s="1" t="s">
        <v>69</v>
      </c>
      <c r="D259" s="1">
        <v>-3.9479000000000002</v>
      </c>
      <c r="E259" s="1">
        <v>40.688699999999898</v>
      </c>
      <c r="F259" s="1">
        <v>961.90186000000006</v>
      </c>
      <c r="G259" s="1">
        <v>-0.54200000000000004</v>
      </c>
      <c r="H259" s="1">
        <v>1965</v>
      </c>
      <c r="I259" s="1" t="str">
        <f t="shared" ref="I259:I322" si="4">RIGHT(LEFT(C259,5),4)</f>
        <v>PISY</v>
      </c>
      <c r="J259">
        <v>2.2770499999999999E-2</v>
      </c>
      <c r="K259">
        <v>-3.0929956222638999E-2</v>
      </c>
      <c r="L259">
        <v>3.4293299999999999E-2</v>
      </c>
    </row>
    <row r="260" spans="3:12" x14ac:dyDescent="0.3">
      <c r="C260" s="1" t="s">
        <v>69</v>
      </c>
      <c r="D260" s="1">
        <v>2.0886</v>
      </c>
      <c r="E260" s="1">
        <v>46.670499999999898</v>
      </c>
      <c r="F260" s="1">
        <v>264.83069</v>
      </c>
      <c r="G260" s="1">
        <v>-0.49</v>
      </c>
      <c r="H260" s="1">
        <v>1914</v>
      </c>
      <c r="I260" s="1" t="str">
        <f t="shared" si="4"/>
        <v>PISY</v>
      </c>
      <c r="J260">
        <v>1.49062E-2</v>
      </c>
      <c r="K260">
        <v>3.8769856160100001E-2</v>
      </c>
      <c r="L260">
        <v>-0.25414009999999998</v>
      </c>
    </row>
    <row r="261" spans="3:12" x14ac:dyDescent="0.3">
      <c r="C261" s="1" t="s">
        <v>69</v>
      </c>
      <c r="D261" s="1">
        <v>-3.9479000000000002</v>
      </c>
      <c r="E261" s="1">
        <v>40.688699999999898</v>
      </c>
      <c r="F261" s="1">
        <v>961.90186000000006</v>
      </c>
      <c r="G261" s="1">
        <v>-0.438</v>
      </c>
      <c r="H261" s="1">
        <v>1965</v>
      </c>
      <c r="I261" s="1" t="str">
        <f t="shared" si="4"/>
        <v>PISY</v>
      </c>
      <c r="J261">
        <v>2.2770499999999999E-2</v>
      </c>
      <c r="K261">
        <v>-3.0929956222638999E-2</v>
      </c>
      <c r="L261">
        <v>3.4293299999999999E-2</v>
      </c>
    </row>
    <row r="262" spans="3:12" x14ac:dyDescent="0.3">
      <c r="C262" s="1" t="s">
        <v>69</v>
      </c>
      <c r="D262" s="1">
        <v>19.6858</v>
      </c>
      <c r="E262" s="1">
        <v>48.844700000000003</v>
      </c>
      <c r="F262" s="1">
        <v>701.47131000000002</v>
      </c>
      <c r="G262" s="1">
        <v>-0.377</v>
      </c>
      <c r="H262" s="1">
        <v>1966</v>
      </c>
      <c r="I262" s="1" t="str">
        <f t="shared" si="4"/>
        <v>PISY</v>
      </c>
      <c r="J262">
        <v>-1.7639100000000001E-2</v>
      </c>
      <c r="K262">
        <v>-3.2774233896185001E-2</v>
      </c>
      <c r="L262">
        <v>-0.5645559</v>
      </c>
    </row>
    <row r="263" spans="3:12" x14ac:dyDescent="0.3">
      <c r="C263" s="1" t="s">
        <v>69</v>
      </c>
      <c r="D263" s="1">
        <v>-3.9479000000000002</v>
      </c>
      <c r="E263" s="1">
        <v>40.688699999999898</v>
      </c>
      <c r="F263" s="1">
        <v>961.90186000000006</v>
      </c>
      <c r="G263" s="1">
        <v>-0.33300000000000002</v>
      </c>
      <c r="H263" s="1">
        <v>1965</v>
      </c>
      <c r="I263" s="1" t="str">
        <f t="shared" si="4"/>
        <v>PISY</v>
      </c>
      <c r="J263">
        <v>2.2770499999999999E-2</v>
      </c>
      <c r="K263">
        <v>-3.0929956222638999E-2</v>
      </c>
      <c r="L263">
        <v>3.4293299999999999E-2</v>
      </c>
    </row>
    <row r="264" spans="3:12" x14ac:dyDescent="0.3">
      <c r="C264" s="1" t="s">
        <v>69</v>
      </c>
      <c r="D264" s="1">
        <v>5.3539166666666702</v>
      </c>
      <c r="E264" s="1">
        <v>45.007733333333299</v>
      </c>
      <c r="F264" s="1">
        <v>761.62267999999995</v>
      </c>
      <c r="G264" s="1">
        <v>-0.23300000000000001</v>
      </c>
      <c r="H264" s="1">
        <v>1905</v>
      </c>
      <c r="I264" s="1" t="str">
        <f t="shared" si="4"/>
        <v>PISY</v>
      </c>
      <c r="J264">
        <v>1.3298900000000001E-2</v>
      </c>
      <c r="K264">
        <v>-1.2570981863665001E-2</v>
      </c>
      <c r="L264">
        <v>-0.61279859999999997</v>
      </c>
    </row>
    <row r="265" spans="3:12" x14ac:dyDescent="0.3">
      <c r="C265" s="1" t="s">
        <v>69</v>
      </c>
      <c r="D265" s="1">
        <v>19.6858</v>
      </c>
      <c r="E265" s="1">
        <v>48.844700000000003</v>
      </c>
      <c r="F265" s="1">
        <v>701.47131000000002</v>
      </c>
      <c r="G265" s="1">
        <v>-1.4E-2</v>
      </c>
      <c r="H265" s="1">
        <v>1966</v>
      </c>
      <c r="I265" s="1" t="str">
        <f t="shared" si="4"/>
        <v>PISY</v>
      </c>
      <c r="J265">
        <v>-1.7639100000000001E-2</v>
      </c>
      <c r="K265">
        <v>-3.2774233896185001E-2</v>
      </c>
      <c r="L265">
        <v>-0.5645559</v>
      </c>
    </row>
    <row r="266" spans="3:12" x14ac:dyDescent="0.3">
      <c r="C266" s="1" t="s">
        <v>69</v>
      </c>
      <c r="D266" s="1">
        <v>19.6858</v>
      </c>
      <c r="E266" s="1">
        <v>48.844700000000003</v>
      </c>
      <c r="F266" s="1">
        <v>701.47131000000002</v>
      </c>
      <c r="G266" s="1">
        <v>0</v>
      </c>
      <c r="H266" s="1">
        <v>1966</v>
      </c>
      <c r="I266" s="1" t="str">
        <f t="shared" si="4"/>
        <v>PISY</v>
      </c>
      <c r="J266">
        <v>-1.7639100000000001E-2</v>
      </c>
      <c r="K266">
        <v>-3.2774233896185001E-2</v>
      </c>
      <c r="L266">
        <v>-0.5645559</v>
      </c>
    </row>
    <row r="267" spans="3:12" x14ac:dyDescent="0.3">
      <c r="C267" s="1" t="s">
        <v>69</v>
      </c>
      <c r="D267" s="1">
        <v>13.8377</v>
      </c>
      <c r="E267" s="1">
        <v>62.2349999999999</v>
      </c>
      <c r="F267" s="1">
        <v>402.63736</v>
      </c>
      <c r="G267" s="1">
        <v>0.35</v>
      </c>
      <c r="H267" s="1">
        <v>1915</v>
      </c>
      <c r="I267" s="1" t="str">
        <f t="shared" si="4"/>
        <v>PISY</v>
      </c>
      <c r="J267">
        <v>7.2732999999999999E-3</v>
      </c>
      <c r="K267">
        <v>3.5175422138837002E-2</v>
      </c>
      <c r="L267">
        <v>-0.40224520000000002</v>
      </c>
    </row>
    <row r="268" spans="3:12" x14ac:dyDescent="0.3">
      <c r="C268" s="1" t="s">
        <v>69</v>
      </c>
      <c r="D268" s="1">
        <v>-0.96830000000000005</v>
      </c>
      <c r="E268" s="1">
        <v>42.850900000000003</v>
      </c>
      <c r="F268" s="1">
        <v>1479.7910999999999</v>
      </c>
      <c r="G268" s="1">
        <v>0.5</v>
      </c>
      <c r="H268" s="1">
        <v>1971</v>
      </c>
      <c r="I268" s="1" t="str">
        <f t="shared" si="4"/>
        <v>PISY</v>
      </c>
      <c r="J268">
        <v>2.1006899999999998E-2</v>
      </c>
      <c r="K268">
        <v>-1.9869606003752E-2</v>
      </c>
      <c r="L268">
        <v>-0.3330362</v>
      </c>
    </row>
    <row r="269" spans="3:12" x14ac:dyDescent="0.3">
      <c r="C269" s="1" t="s">
        <v>69</v>
      </c>
      <c r="D269" s="1">
        <v>33.547899999999899</v>
      </c>
      <c r="E269" s="1">
        <v>67.695300000000003</v>
      </c>
      <c r="F269" s="1">
        <v>875.46960000000001</v>
      </c>
      <c r="G269" s="1">
        <v>0.54</v>
      </c>
      <c r="H269" s="1">
        <v>1958</v>
      </c>
      <c r="I269" s="1" t="str">
        <f t="shared" si="4"/>
        <v>PISY</v>
      </c>
      <c r="J269">
        <v>-5.1595E-3</v>
      </c>
      <c r="K269">
        <v>6.2992495309570004E-3</v>
      </c>
      <c r="L269">
        <v>2.7986999999999999E-3</v>
      </c>
    </row>
    <row r="270" spans="3:12" x14ac:dyDescent="0.3">
      <c r="C270" s="1" t="s">
        <v>69</v>
      </c>
      <c r="D270" s="1">
        <v>2.0886</v>
      </c>
      <c r="E270" s="1">
        <v>46.670499999999898</v>
      </c>
      <c r="F270" s="1">
        <v>264.83069</v>
      </c>
      <c r="G270" s="1">
        <v>0.621</v>
      </c>
      <c r="H270" s="1">
        <v>1914</v>
      </c>
      <c r="I270" s="1" t="str">
        <f t="shared" si="4"/>
        <v>PISY</v>
      </c>
      <c r="J270">
        <v>1.49062E-2</v>
      </c>
      <c r="K270">
        <v>3.8769856160100001E-2</v>
      </c>
      <c r="L270">
        <v>-0.25414009999999998</v>
      </c>
    </row>
    <row r="271" spans="3:12" x14ac:dyDescent="0.3">
      <c r="C271" s="1" t="s">
        <v>69</v>
      </c>
      <c r="D271" s="1">
        <v>13.8377</v>
      </c>
      <c r="E271" s="1">
        <v>62.2349999999999</v>
      </c>
      <c r="F271" s="1">
        <v>402.63736</v>
      </c>
      <c r="G271" s="1">
        <v>0.81</v>
      </c>
      <c r="H271" s="1">
        <v>1915</v>
      </c>
      <c r="I271" s="1" t="str">
        <f t="shared" si="4"/>
        <v>PISY</v>
      </c>
      <c r="J271">
        <v>7.2732999999999999E-3</v>
      </c>
      <c r="K271">
        <v>3.5175422138837002E-2</v>
      </c>
      <c r="L271">
        <v>-0.40224520000000002</v>
      </c>
    </row>
    <row r="272" spans="3:12" x14ac:dyDescent="0.3">
      <c r="C272" s="1" t="s">
        <v>69</v>
      </c>
      <c r="D272" s="1">
        <v>-0.96830000000000005</v>
      </c>
      <c r="E272" s="1">
        <v>42.850900000000003</v>
      </c>
      <c r="F272" s="1">
        <v>1479.7910999999999</v>
      </c>
      <c r="G272" s="1">
        <v>1.25</v>
      </c>
      <c r="H272" s="1">
        <v>1971</v>
      </c>
      <c r="I272" s="1" t="str">
        <f t="shared" si="4"/>
        <v>PISY</v>
      </c>
      <c r="J272">
        <v>2.1006899999999998E-2</v>
      </c>
      <c r="K272">
        <v>-1.9869606003752E-2</v>
      </c>
      <c r="L272">
        <v>-0.3330362</v>
      </c>
    </row>
    <row r="273" spans="3:12" x14ac:dyDescent="0.3">
      <c r="C273" s="1" t="s">
        <v>69</v>
      </c>
      <c r="D273" s="1">
        <v>13.8377</v>
      </c>
      <c r="E273" s="1">
        <v>62.2349999999999</v>
      </c>
      <c r="F273" s="1">
        <v>402.63736</v>
      </c>
      <c r="G273" s="1">
        <v>1.66</v>
      </c>
      <c r="H273" s="1">
        <v>1975</v>
      </c>
      <c r="I273" s="1" t="str">
        <f t="shared" si="4"/>
        <v>PISY</v>
      </c>
      <c r="J273">
        <v>7.2732999999999999E-3</v>
      </c>
      <c r="K273">
        <v>3.5175422138837002E-2</v>
      </c>
      <c r="L273">
        <v>-0.40224520000000002</v>
      </c>
    </row>
    <row r="274" spans="3:12" x14ac:dyDescent="0.3">
      <c r="C274" s="1" t="s">
        <v>69</v>
      </c>
      <c r="D274" s="1">
        <v>10.8605</v>
      </c>
      <c r="E274" s="1">
        <v>45.7196</v>
      </c>
      <c r="F274" s="1">
        <v>1367.8629000000001</v>
      </c>
      <c r="G274" s="1">
        <v>5.2240000000000002</v>
      </c>
      <c r="H274" s="1">
        <v>1989</v>
      </c>
      <c r="I274" s="1" t="str">
        <f t="shared" si="4"/>
        <v>PISY</v>
      </c>
      <c r="J274">
        <v>5.4095999999999997E-3</v>
      </c>
      <c r="K274">
        <v>-8.6163227016889995E-3</v>
      </c>
      <c r="L274">
        <v>-5.6400000000000002E-5</v>
      </c>
    </row>
    <row r="275" spans="3:12" x14ac:dyDescent="0.3">
      <c r="C275" s="1" t="s">
        <v>69</v>
      </c>
      <c r="D275" s="1">
        <v>13.0769</v>
      </c>
      <c r="E275" s="1">
        <v>63.4405</v>
      </c>
      <c r="F275" s="1">
        <v>1097.6077</v>
      </c>
      <c r="G275" s="1">
        <v>6.6669999999999998</v>
      </c>
      <c r="H275" s="1">
        <v>1948</v>
      </c>
      <c r="I275" s="1" t="str">
        <f t="shared" si="4"/>
        <v>PISY</v>
      </c>
      <c r="J275">
        <v>7.0419000000000002E-3</v>
      </c>
      <c r="K275">
        <v>2.6615071919949999E-2</v>
      </c>
      <c r="L275">
        <v>-0.1774985</v>
      </c>
    </row>
    <row r="276" spans="3:12" x14ac:dyDescent="0.3">
      <c r="C276" s="1" t="s">
        <v>64</v>
      </c>
      <c r="D276" s="1">
        <v>-119.4324</v>
      </c>
      <c r="E276" s="1">
        <v>37.261499999999899</v>
      </c>
      <c r="F276" s="1">
        <v>1792.5378000000001</v>
      </c>
      <c r="G276" s="1">
        <v>-0.14199999999999999</v>
      </c>
      <c r="H276" s="1">
        <v>1895</v>
      </c>
      <c r="I276" s="1" t="str">
        <f t="shared" si="4"/>
        <v>PICO</v>
      </c>
      <c r="J276">
        <v>1.62414E-2</v>
      </c>
      <c r="K276">
        <v>-8.2698561601E-3</v>
      </c>
      <c r="L276">
        <v>2.8980599999999999E-2</v>
      </c>
    </row>
    <row r="277" spans="3:12" x14ac:dyDescent="0.3">
      <c r="C277" s="1" t="s">
        <v>61</v>
      </c>
      <c r="D277" s="1">
        <v>-155.27340000000001</v>
      </c>
      <c r="E277" s="1">
        <v>19.430399999999899</v>
      </c>
      <c r="F277" s="1">
        <v>1133.0050000000001</v>
      </c>
      <c r="G277" s="1">
        <v>0</v>
      </c>
      <c r="H277" s="1">
        <v>1966</v>
      </c>
      <c r="I277" s="1" t="str">
        <f t="shared" si="4"/>
        <v>PIAL</v>
      </c>
      <c r="J277">
        <v>3.3017499999999998E-2</v>
      </c>
      <c r="K277">
        <v>1.6208567854909001E-2</v>
      </c>
      <c r="L277">
        <v>0.24687290000000001</v>
      </c>
    </row>
    <row r="278" spans="3:12" x14ac:dyDescent="0.3">
      <c r="C278" s="1" t="s">
        <v>61</v>
      </c>
      <c r="D278" s="1">
        <v>-155.27340000000001</v>
      </c>
      <c r="E278" s="1">
        <v>19.430399999999899</v>
      </c>
      <c r="F278" s="1">
        <v>1133.0050000000001</v>
      </c>
      <c r="G278" s="1">
        <v>0</v>
      </c>
      <c r="H278" s="1">
        <v>1966</v>
      </c>
      <c r="I278" s="1" t="str">
        <f t="shared" si="4"/>
        <v>PIAL</v>
      </c>
      <c r="J278">
        <v>3.3017499999999998E-2</v>
      </c>
      <c r="K278">
        <v>1.6208567854909001E-2</v>
      </c>
      <c r="L278">
        <v>0.24687290000000001</v>
      </c>
    </row>
    <row r="279" spans="3:12" x14ac:dyDescent="0.3">
      <c r="C279" s="1" t="s">
        <v>61</v>
      </c>
      <c r="D279" s="1">
        <v>-155.27340000000001</v>
      </c>
      <c r="E279" s="1">
        <v>19.430399999999899</v>
      </c>
      <c r="F279" s="1">
        <v>1133.0050000000001</v>
      </c>
      <c r="G279" s="1">
        <v>0.191</v>
      </c>
      <c r="H279" s="1">
        <v>1966</v>
      </c>
      <c r="I279" s="1" t="str">
        <f t="shared" si="4"/>
        <v>PIAL</v>
      </c>
      <c r="J279">
        <v>3.3017499999999998E-2</v>
      </c>
      <c r="K279">
        <v>1.6208567854909001E-2</v>
      </c>
      <c r="L279">
        <v>0.24687290000000001</v>
      </c>
    </row>
    <row r="280" spans="3:12" x14ac:dyDescent="0.3">
      <c r="C280" s="1" t="s">
        <v>70</v>
      </c>
      <c r="D280" s="1">
        <v>7.0965499999999997</v>
      </c>
      <c r="E280" s="1">
        <v>43.006549999999997</v>
      </c>
      <c r="F280" s="1" t="s">
        <v>112</v>
      </c>
      <c r="G280" s="1">
        <v>-0.78600000000000003</v>
      </c>
      <c r="H280" s="1">
        <v>1981</v>
      </c>
      <c r="I280" s="1" t="str">
        <f t="shared" si="4"/>
        <v>PITE</v>
      </c>
      <c r="J280" t="s">
        <v>112</v>
      </c>
      <c r="K280" t="s">
        <v>112</v>
      </c>
      <c r="L280" t="s">
        <v>112</v>
      </c>
    </row>
    <row r="281" spans="3:12" x14ac:dyDescent="0.3">
      <c r="C281" s="1" t="s">
        <v>70</v>
      </c>
      <c r="D281" s="1">
        <v>10.8605</v>
      </c>
      <c r="E281" s="1">
        <v>45.7196</v>
      </c>
      <c r="F281" s="1">
        <v>1367.8629000000001</v>
      </c>
      <c r="G281" s="1">
        <v>2.4209999999999998</v>
      </c>
      <c r="H281" s="1">
        <v>1989</v>
      </c>
      <c r="I281" s="1" t="str">
        <f t="shared" si="4"/>
        <v>PITE</v>
      </c>
      <c r="J281">
        <v>5.4095999999999997E-3</v>
      </c>
      <c r="K281">
        <v>-8.6163227016889995E-3</v>
      </c>
      <c r="L281">
        <v>-5.6400000000000002E-5</v>
      </c>
    </row>
    <row r="282" spans="3:12" x14ac:dyDescent="0.3">
      <c r="C282" s="1" t="s">
        <v>71</v>
      </c>
      <c r="D282" s="1">
        <v>-119.4324</v>
      </c>
      <c r="E282" s="1">
        <v>37.261499999999899</v>
      </c>
      <c r="F282" s="1">
        <v>1792.5378000000001</v>
      </c>
      <c r="G282" s="1">
        <v>-1.4</v>
      </c>
      <c r="H282" s="1">
        <v>1895</v>
      </c>
      <c r="I282" s="1" t="str">
        <f t="shared" si="4"/>
        <v>PLRA</v>
      </c>
      <c r="J282">
        <v>1.62414E-2</v>
      </c>
      <c r="K282">
        <v>-8.2698561601E-3</v>
      </c>
      <c r="L282">
        <v>2.8980599999999999E-2</v>
      </c>
    </row>
    <row r="283" spans="3:12" x14ac:dyDescent="0.3">
      <c r="C283" s="1" t="s">
        <v>72</v>
      </c>
      <c r="D283" s="1">
        <v>7.9573</v>
      </c>
      <c r="E283" s="1">
        <v>60.697299999999899</v>
      </c>
      <c r="F283" s="1">
        <v>1156.1946</v>
      </c>
      <c r="G283" s="1">
        <v>-0.61099999999999999</v>
      </c>
      <c r="H283" s="1">
        <v>2001</v>
      </c>
      <c r="I283" s="1" t="str">
        <f t="shared" si="4"/>
        <v>POAL</v>
      </c>
      <c r="J283">
        <v>5.3502000000000003E-3</v>
      </c>
      <c r="K283">
        <v>4.5384615384620004E-3</v>
      </c>
      <c r="L283">
        <v>-0.11542529999999999</v>
      </c>
    </row>
    <row r="284" spans="3:12" x14ac:dyDescent="0.3">
      <c r="C284" s="1" t="s">
        <v>72</v>
      </c>
      <c r="D284" s="1">
        <v>24.6996</v>
      </c>
      <c r="E284" s="1">
        <v>69.812799999999896</v>
      </c>
      <c r="F284" s="1">
        <v>412.95316000000003</v>
      </c>
      <c r="G284" s="1">
        <v>-0.44400000000000001</v>
      </c>
      <c r="H284" s="1">
        <v>1982</v>
      </c>
      <c r="I284" s="1" t="str">
        <f t="shared" si="4"/>
        <v>POAL</v>
      </c>
      <c r="J284">
        <v>2.7829999999999999E-3</v>
      </c>
      <c r="K284">
        <v>-5.2529706066289997E-3</v>
      </c>
      <c r="L284">
        <v>-4.50312E-2</v>
      </c>
    </row>
    <row r="285" spans="3:12" x14ac:dyDescent="0.3">
      <c r="C285" s="1" t="s">
        <v>72</v>
      </c>
      <c r="D285" s="1">
        <v>10.8605</v>
      </c>
      <c r="E285" s="1">
        <v>45.7196</v>
      </c>
      <c r="F285" s="1">
        <v>1367.8629000000001</v>
      </c>
      <c r="G285" s="1">
        <v>-0.27700000000000002</v>
      </c>
      <c r="H285" s="1">
        <v>1989</v>
      </c>
      <c r="I285" s="1" t="str">
        <f t="shared" si="4"/>
        <v>POAL</v>
      </c>
      <c r="J285">
        <v>5.4095999999999997E-3</v>
      </c>
      <c r="K285">
        <v>-8.6163227016889995E-3</v>
      </c>
      <c r="L285">
        <v>-5.6400000000000002E-5</v>
      </c>
    </row>
    <row r="286" spans="3:12" x14ac:dyDescent="0.3">
      <c r="C286" s="1" t="s">
        <v>72</v>
      </c>
      <c r="D286" s="1">
        <v>24.6996</v>
      </c>
      <c r="E286" s="1">
        <v>69.812799999999896</v>
      </c>
      <c r="F286" s="1">
        <v>412.95316000000003</v>
      </c>
      <c r="G286" s="1">
        <v>-7.3999999999999996E-2</v>
      </c>
      <c r="H286" s="1">
        <v>1982</v>
      </c>
      <c r="I286" s="1" t="str">
        <f t="shared" si="4"/>
        <v>POAL</v>
      </c>
      <c r="J286">
        <v>2.7829999999999999E-3</v>
      </c>
      <c r="K286">
        <v>-5.2529706066289997E-3</v>
      </c>
      <c r="L286">
        <v>-4.50312E-2</v>
      </c>
    </row>
    <row r="287" spans="3:12" x14ac:dyDescent="0.3">
      <c r="C287" s="1" t="s">
        <v>72</v>
      </c>
      <c r="D287" s="1">
        <v>9.9322999999999997</v>
      </c>
      <c r="E287" s="1">
        <v>46.615900000000003</v>
      </c>
      <c r="F287" s="1">
        <v>2531.1504</v>
      </c>
      <c r="G287" s="1">
        <v>0.16</v>
      </c>
      <c r="H287" s="1">
        <v>1835</v>
      </c>
      <c r="I287" s="1" t="str">
        <f t="shared" si="4"/>
        <v>POAL</v>
      </c>
      <c r="J287">
        <v>1.02408E-2</v>
      </c>
      <c r="K287">
        <v>7.003439649781E-3</v>
      </c>
      <c r="L287">
        <v>-0.1449375</v>
      </c>
    </row>
    <row r="288" spans="3:12" x14ac:dyDescent="0.3">
      <c r="C288" s="1" t="s">
        <v>72</v>
      </c>
      <c r="D288" s="1">
        <v>10.0448</v>
      </c>
      <c r="E288" s="1">
        <v>46.602699999999899</v>
      </c>
      <c r="F288" s="1">
        <v>1978.8960999999999</v>
      </c>
      <c r="G288" s="1">
        <v>0.48</v>
      </c>
      <c r="H288" s="1">
        <v>1912</v>
      </c>
      <c r="I288" s="1" t="str">
        <f t="shared" si="4"/>
        <v>POAL</v>
      </c>
      <c r="J288">
        <v>1.1554099999999999E-2</v>
      </c>
      <c r="K288">
        <v>1.3260162601626E-2</v>
      </c>
      <c r="L288">
        <v>-0.16215450000000001</v>
      </c>
    </row>
    <row r="289" spans="3:12" x14ac:dyDescent="0.3">
      <c r="C289" s="1" t="s">
        <v>72</v>
      </c>
      <c r="D289" s="1">
        <v>9.9122000000000003</v>
      </c>
      <c r="E289" s="1">
        <v>46.349400000000003</v>
      </c>
      <c r="F289" s="1">
        <v>2860.6680000000001</v>
      </c>
      <c r="G289" s="1">
        <v>2.2450000000000001</v>
      </c>
      <c r="H289" s="1">
        <v>1954</v>
      </c>
      <c r="I289" s="1" t="str">
        <f t="shared" si="4"/>
        <v>POAL</v>
      </c>
      <c r="J289">
        <v>1.07098E-2</v>
      </c>
      <c r="K289">
        <v>1.6258599124452999E-2</v>
      </c>
      <c r="L289">
        <v>-0.35351779999999999</v>
      </c>
    </row>
    <row r="290" spans="3:12" x14ac:dyDescent="0.3">
      <c r="C290" s="1" t="s">
        <v>73</v>
      </c>
      <c r="D290" s="1">
        <v>-119.4324</v>
      </c>
      <c r="E290" s="1">
        <v>37.261499999999899</v>
      </c>
      <c r="F290" s="1">
        <v>1792.5378000000001</v>
      </c>
      <c r="G290" s="1">
        <v>3.7320000000000002</v>
      </c>
      <c r="H290" s="1">
        <v>1895</v>
      </c>
      <c r="I290" s="1" t="str">
        <f t="shared" si="4"/>
        <v>POFR</v>
      </c>
      <c r="J290">
        <v>1.62414E-2</v>
      </c>
      <c r="K290">
        <v>-8.2698561601E-3</v>
      </c>
      <c r="L290">
        <v>2.8980599999999999E-2</v>
      </c>
    </row>
    <row r="291" spans="3:12" x14ac:dyDescent="0.3">
      <c r="C291" s="1" t="s">
        <v>72</v>
      </c>
      <c r="D291" s="1">
        <v>11.3355999999999</v>
      </c>
      <c r="E291" s="1">
        <v>46.9102999999999</v>
      </c>
      <c r="F291" s="1">
        <v>1793.2164</v>
      </c>
      <c r="G291" s="1">
        <v>-3.5960000000000001</v>
      </c>
      <c r="H291" s="1">
        <v>1970</v>
      </c>
      <c r="I291" s="1" t="str">
        <f t="shared" si="4"/>
        <v>POAL</v>
      </c>
      <c r="J291">
        <v>9.7248000000000005E-3</v>
      </c>
      <c r="K291">
        <v>2.1035021888679999E-3</v>
      </c>
      <c r="L291">
        <v>-0.1200251</v>
      </c>
    </row>
    <row r="292" spans="3:12" x14ac:dyDescent="0.3">
      <c r="C292" s="1" t="s">
        <v>72</v>
      </c>
      <c r="D292" s="1">
        <v>11.3355999999999</v>
      </c>
      <c r="E292" s="1">
        <v>46.9102999999999</v>
      </c>
      <c r="F292" s="1">
        <v>1793.2164</v>
      </c>
      <c r="G292" s="1">
        <v>-0.44700000000000001</v>
      </c>
      <c r="H292" s="1">
        <v>1970</v>
      </c>
      <c r="I292" s="1" t="str">
        <f t="shared" si="4"/>
        <v>POAL</v>
      </c>
      <c r="J292">
        <v>9.7248000000000005E-3</v>
      </c>
      <c r="K292">
        <v>2.1035021888679999E-3</v>
      </c>
      <c r="L292">
        <v>-0.1200251</v>
      </c>
    </row>
    <row r="293" spans="3:12" x14ac:dyDescent="0.3">
      <c r="C293" s="1" t="s">
        <v>72</v>
      </c>
      <c r="D293" s="1">
        <v>11.3355999999999</v>
      </c>
      <c r="E293" s="1">
        <v>46.9102999999999</v>
      </c>
      <c r="F293" s="1">
        <v>1793.2164</v>
      </c>
      <c r="G293" s="1">
        <v>0.191</v>
      </c>
      <c r="H293" s="1">
        <v>1970</v>
      </c>
      <c r="I293" s="1" t="str">
        <f t="shared" si="4"/>
        <v>POAL</v>
      </c>
      <c r="J293">
        <v>9.7248000000000005E-3</v>
      </c>
      <c r="K293">
        <v>2.1035021888679999E-3</v>
      </c>
      <c r="L293">
        <v>-0.1200251</v>
      </c>
    </row>
    <row r="294" spans="3:12" x14ac:dyDescent="0.3">
      <c r="C294" s="1" t="s">
        <v>72</v>
      </c>
      <c r="D294" s="1">
        <v>10.8605</v>
      </c>
      <c r="E294" s="1">
        <v>45.7196</v>
      </c>
      <c r="F294" s="1">
        <v>1367.8629000000001</v>
      </c>
      <c r="G294" s="1">
        <v>4.2089999999999996</v>
      </c>
      <c r="H294" s="1">
        <v>1989</v>
      </c>
      <c r="I294" s="1" t="str">
        <f t="shared" si="4"/>
        <v>POAL</v>
      </c>
      <c r="J294">
        <v>5.4095999999999997E-3</v>
      </c>
      <c r="K294">
        <v>-8.6163227016889995E-3</v>
      </c>
      <c r="L294">
        <v>-5.6400000000000002E-5</v>
      </c>
    </row>
    <row r="295" spans="3:12" x14ac:dyDescent="0.3">
      <c r="C295" s="1" t="s">
        <v>72</v>
      </c>
      <c r="D295" s="1">
        <v>10.8605</v>
      </c>
      <c r="E295" s="1">
        <v>45.7196</v>
      </c>
      <c r="F295" s="1">
        <v>1367.8629000000001</v>
      </c>
      <c r="G295" s="1">
        <v>12.058</v>
      </c>
      <c r="H295" s="1">
        <v>1989</v>
      </c>
      <c r="I295" s="1" t="str">
        <f t="shared" si="4"/>
        <v>POAL</v>
      </c>
      <c r="J295">
        <v>5.4095999999999997E-3</v>
      </c>
      <c r="K295">
        <v>-8.6163227016889995E-3</v>
      </c>
      <c r="L295">
        <v>-5.6400000000000002E-5</v>
      </c>
    </row>
    <row r="296" spans="3:12" x14ac:dyDescent="0.3">
      <c r="C296" s="1" t="s">
        <v>73</v>
      </c>
      <c r="D296" s="1">
        <v>-119.4324</v>
      </c>
      <c r="E296" s="1">
        <v>37.261499999999899</v>
      </c>
      <c r="F296" s="1">
        <v>1792.5378000000001</v>
      </c>
      <c r="G296" s="1">
        <v>2.476</v>
      </c>
      <c r="H296" s="1">
        <v>1895</v>
      </c>
      <c r="I296" s="1" t="str">
        <f t="shared" si="4"/>
        <v>POFR</v>
      </c>
      <c r="J296">
        <v>1.62414E-2</v>
      </c>
      <c r="K296">
        <v>-8.2698561601E-3</v>
      </c>
      <c r="L296">
        <v>2.8980599999999999E-2</v>
      </c>
    </row>
    <row r="297" spans="3:12" x14ac:dyDescent="0.3">
      <c r="C297" s="1" t="s">
        <v>74</v>
      </c>
      <c r="D297" s="1">
        <v>10.8605</v>
      </c>
      <c r="E297" s="1">
        <v>45.7196</v>
      </c>
      <c r="F297" s="1">
        <v>1367.8629000000001</v>
      </c>
      <c r="G297" s="1">
        <v>1.4339999999999999</v>
      </c>
      <c r="H297" s="1">
        <v>1989</v>
      </c>
      <c r="I297" s="1" t="str">
        <f t="shared" si="4"/>
        <v>PONI</v>
      </c>
      <c r="J297">
        <v>5.4095999999999997E-3</v>
      </c>
      <c r="K297">
        <v>-8.6163227016889995E-3</v>
      </c>
      <c r="L297">
        <v>-5.6400000000000002E-5</v>
      </c>
    </row>
    <row r="298" spans="3:12" x14ac:dyDescent="0.3">
      <c r="C298" s="1" t="s">
        <v>75</v>
      </c>
      <c r="D298" s="1">
        <v>24.6996</v>
      </c>
      <c r="E298" s="1">
        <v>69.812799999999896</v>
      </c>
      <c r="F298" s="1">
        <v>412.95316000000003</v>
      </c>
      <c r="G298" s="1">
        <v>-0.63</v>
      </c>
      <c r="H298" s="1">
        <v>1982</v>
      </c>
      <c r="I298" s="1" t="str">
        <f t="shared" si="4"/>
        <v>POTR</v>
      </c>
      <c r="J298">
        <v>2.7829999999999999E-3</v>
      </c>
      <c r="K298">
        <v>-5.2529706066289997E-3</v>
      </c>
      <c r="L298">
        <v>-4.50312E-2</v>
      </c>
    </row>
    <row r="299" spans="3:12" x14ac:dyDescent="0.3">
      <c r="C299" s="1" t="s">
        <v>75</v>
      </c>
      <c r="D299" s="1">
        <v>13.4633</v>
      </c>
      <c r="E299" s="1">
        <v>48.921500000000002</v>
      </c>
      <c r="F299" s="1">
        <v>869.87121999999999</v>
      </c>
      <c r="G299" s="1">
        <v>2.0190000000000001</v>
      </c>
      <c r="H299" s="1">
        <v>1902</v>
      </c>
      <c r="I299" s="1" t="str">
        <f t="shared" si="4"/>
        <v>POTR</v>
      </c>
      <c r="J299">
        <v>2.1232E-3</v>
      </c>
      <c r="K299">
        <v>-5.7588805503439998E-2</v>
      </c>
      <c r="L299">
        <v>-0.5666291</v>
      </c>
    </row>
    <row r="300" spans="3:12" x14ac:dyDescent="0.3">
      <c r="C300" s="1" t="s">
        <v>75</v>
      </c>
      <c r="D300" s="1">
        <v>10.8605</v>
      </c>
      <c r="E300" s="1">
        <v>45.7196</v>
      </c>
      <c r="F300" s="1">
        <v>1367.8629000000001</v>
      </c>
      <c r="G300" s="1">
        <v>12.689</v>
      </c>
      <c r="H300" s="1">
        <v>1989</v>
      </c>
      <c r="I300" s="1" t="str">
        <f t="shared" si="4"/>
        <v>POTR</v>
      </c>
      <c r="J300">
        <v>5.4095999999999997E-3</v>
      </c>
      <c r="K300">
        <v>-8.6163227016889995E-3</v>
      </c>
      <c r="L300">
        <v>-5.6400000000000002E-5</v>
      </c>
    </row>
    <row r="301" spans="3:12" x14ac:dyDescent="0.3">
      <c r="C301" s="1" t="s">
        <v>75</v>
      </c>
      <c r="D301" s="1">
        <v>7.0965499999999997</v>
      </c>
      <c r="E301" s="1">
        <v>43.006549999999997</v>
      </c>
      <c r="F301" s="1" t="s">
        <v>112</v>
      </c>
      <c r="G301" s="1">
        <v>20.786000000000001</v>
      </c>
      <c r="H301" s="1">
        <v>1981</v>
      </c>
      <c r="I301" s="1" t="str">
        <f t="shared" si="4"/>
        <v>POTR</v>
      </c>
      <c r="J301" t="s">
        <v>112</v>
      </c>
      <c r="K301" t="s">
        <v>112</v>
      </c>
      <c r="L301" t="s">
        <v>112</v>
      </c>
    </row>
    <row r="302" spans="3:12" x14ac:dyDescent="0.3">
      <c r="C302" s="1" t="s">
        <v>76</v>
      </c>
      <c r="D302" s="1">
        <v>-119.4324</v>
      </c>
      <c r="E302" s="1">
        <v>37.261499999999899</v>
      </c>
      <c r="F302" s="1">
        <v>1792.5378000000001</v>
      </c>
      <c r="G302" s="1">
        <v>4.3140000000000001</v>
      </c>
      <c r="H302" s="1">
        <v>1895</v>
      </c>
      <c r="I302" s="1" t="str">
        <f>RIGHT(LEFT(C302,5),4)</f>
        <v>POTE</v>
      </c>
      <c r="J302">
        <v>1.62414E-2</v>
      </c>
      <c r="K302">
        <v>-8.2698561601E-3</v>
      </c>
      <c r="L302">
        <v>2.8980599999999999E-2</v>
      </c>
    </row>
    <row r="303" spans="3:12" x14ac:dyDescent="0.3">
      <c r="C303" s="1" t="s">
        <v>77</v>
      </c>
      <c r="D303" s="1">
        <v>-119.4324</v>
      </c>
      <c r="E303" s="1">
        <v>37.261499999999899</v>
      </c>
      <c r="F303" s="1">
        <v>1792.5378000000001</v>
      </c>
      <c r="G303" s="1">
        <v>5.5179999999999998</v>
      </c>
      <c r="H303" s="1">
        <v>1895</v>
      </c>
      <c r="I303" s="1" t="str">
        <f t="shared" si="4"/>
        <v>POTI</v>
      </c>
      <c r="J303">
        <v>1.62414E-2</v>
      </c>
      <c r="K303">
        <v>-8.2698561601E-3</v>
      </c>
      <c r="L303">
        <v>2.8980599999999999E-2</v>
      </c>
    </row>
    <row r="304" spans="3:12" x14ac:dyDescent="0.3">
      <c r="C304" s="1" t="s">
        <v>72</v>
      </c>
      <c r="D304" s="1">
        <v>10.8605</v>
      </c>
      <c r="E304" s="1">
        <v>45.7196</v>
      </c>
      <c r="F304" s="1">
        <v>1367.8629000000001</v>
      </c>
      <c r="G304" s="1">
        <v>3.806</v>
      </c>
      <c r="H304" s="1">
        <v>1989</v>
      </c>
      <c r="I304" s="1" t="str">
        <f t="shared" si="4"/>
        <v>POAL</v>
      </c>
      <c r="J304">
        <v>5.4095999999999997E-3</v>
      </c>
      <c r="K304">
        <v>-8.6163227016889995E-3</v>
      </c>
      <c r="L304">
        <v>-5.6400000000000002E-5</v>
      </c>
    </row>
    <row r="305" spans="3:12" x14ac:dyDescent="0.3">
      <c r="C305" s="1" t="s">
        <v>73</v>
      </c>
      <c r="D305" s="1">
        <v>9.9322999999999997</v>
      </c>
      <c r="E305" s="1">
        <v>46.615900000000003</v>
      </c>
      <c r="F305" s="1">
        <v>2531.1504</v>
      </c>
      <c r="G305" s="1">
        <v>0.01</v>
      </c>
      <c r="H305" s="1">
        <v>1835</v>
      </c>
      <c r="I305" s="1" t="str">
        <f t="shared" si="4"/>
        <v>POFR</v>
      </c>
      <c r="J305">
        <v>1.02408E-2</v>
      </c>
      <c r="K305">
        <v>7.003439649781E-3</v>
      </c>
      <c r="L305">
        <v>-0.1449375</v>
      </c>
    </row>
    <row r="306" spans="3:12" x14ac:dyDescent="0.3">
      <c r="C306" s="1" t="s">
        <v>73</v>
      </c>
      <c r="D306" s="1">
        <v>10.0448</v>
      </c>
      <c r="E306" s="1">
        <v>46.602699999999899</v>
      </c>
      <c r="F306" s="1">
        <v>1978.8960999999999</v>
      </c>
      <c r="G306" s="1">
        <v>1.998</v>
      </c>
      <c r="H306" s="1">
        <v>1912</v>
      </c>
      <c r="I306" s="1" t="str">
        <f t="shared" si="4"/>
        <v>POFR</v>
      </c>
      <c r="J306">
        <v>1.1554099999999999E-2</v>
      </c>
      <c r="K306">
        <v>1.3260162601626E-2</v>
      </c>
      <c r="L306">
        <v>-0.16215450000000001</v>
      </c>
    </row>
    <row r="307" spans="3:12" x14ac:dyDescent="0.3">
      <c r="C307" s="1" t="s">
        <v>74</v>
      </c>
      <c r="D307" s="1">
        <v>10.8605</v>
      </c>
      <c r="E307" s="1">
        <v>45.7196</v>
      </c>
      <c r="F307" s="1">
        <v>1367.8629000000001</v>
      </c>
      <c r="G307" s="1">
        <v>16.23</v>
      </c>
      <c r="H307" s="1">
        <v>1989</v>
      </c>
      <c r="I307" s="1" t="str">
        <f t="shared" si="4"/>
        <v>PONI</v>
      </c>
      <c r="J307">
        <v>5.4095999999999997E-3</v>
      </c>
      <c r="K307">
        <v>-8.6163227016889995E-3</v>
      </c>
      <c r="L307">
        <v>-5.6400000000000002E-5</v>
      </c>
    </row>
    <row r="308" spans="3:12" x14ac:dyDescent="0.3">
      <c r="C308" s="1" t="s">
        <v>78</v>
      </c>
      <c r="D308" s="1">
        <v>10.8605</v>
      </c>
      <c r="E308" s="1">
        <v>45.7196</v>
      </c>
      <c r="F308" s="1">
        <v>1367.8629000000001</v>
      </c>
      <c r="G308" s="1">
        <v>7.42</v>
      </c>
      <c r="H308" s="1">
        <v>1989</v>
      </c>
      <c r="I308" s="1" t="str">
        <f t="shared" si="4"/>
        <v>PRSP</v>
      </c>
      <c r="J308">
        <v>5.4095999999999997E-3</v>
      </c>
      <c r="K308">
        <v>-8.6163227016889995E-3</v>
      </c>
      <c r="L308">
        <v>-5.6400000000000002E-5</v>
      </c>
    </row>
    <row r="309" spans="3:12" x14ac:dyDescent="0.3">
      <c r="C309" s="1" t="s">
        <v>79</v>
      </c>
      <c r="D309" s="1">
        <v>5.3539166666666702</v>
      </c>
      <c r="E309" s="1">
        <v>45.007733333333299</v>
      </c>
      <c r="F309" s="1">
        <v>761.62267999999995</v>
      </c>
      <c r="G309" s="1">
        <v>-0.54400000000000004</v>
      </c>
      <c r="H309" s="1">
        <v>1905</v>
      </c>
      <c r="I309" s="1" t="str">
        <f t="shared" si="4"/>
        <v>PRAV</v>
      </c>
      <c r="J309">
        <v>1.3298900000000001E-2</v>
      </c>
      <c r="K309">
        <v>-1.2570981863665001E-2</v>
      </c>
      <c r="L309">
        <v>-0.61279859999999997</v>
      </c>
    </row>
    <row r="310" spans="3:12" x14ac:dyDescent="0.3">
      <c r="C310" s="1" t="s">
        <v>79</v>
      </c>
      <c r="D310" s="1">
        <v>2.0886</v>
      </c>
      <c r="E310" s="1">
        <v>46.670499999999898</v>
      </c>
      <c r="F310" s="1">
        <v>264.83069</v>
      </c>
      <c r="G310" s="1">
        <v>0.65500000000000003</v>
      </c>
      <c r="H310" s="1">
        <v>1914</v>
      </c>
      <c r="I310" s="1" t="str">
        <f t="shared" si="4"/>
        <v>PRAV</v>
      </c>
      <c r="J310">
        <v>1.49062E-2</v>
      </c>
      <c r="K310">
        <v>3.8769856160100001E-2</v>
      </c>
      <c r="L310">
        <v>-0.25414009999999998</v>
      </c>
    </row>
    <row r="311" spans="3:12" x14ac:dyDescent="0.3">
      <c r="C311" s="1" t="s">
        <v>79</v>
      </c>
      <c r="D311" s="1">
        <v>2.0886</v>
      </c>
      <c r="E311" s="1">
        <v>46.670499999999898</v>
      </c>
      <c r="F311" s="1">
        <v>264.83069</v>
      </c>
      <c r="G311" s="1">
        <v>1.129</v>
      </c>
      <c r="H311" s="1">
        <v>1914</v>
      </c>
      <c r="I311" s="1" t="str">
        <f t="shared" si="4"/>
        <v>PRAV</v>
      </c>
      <c r="J311">
        <v>1.49062E-2</v>
      </c>
      <c r="K311">
        <v>3.8769856160100001E-2</v>
      </c>
      <c r="L311">
        <v>-0.25414009999999998</v>
      </c>
    </row>
    <row r="312" spans="3:12" x14ac:dyDescent="0.3">
      <c r="C312" s="1" t="s">
        <v>79</v>
      </c>
      <c r="D312" s="1">
        <v>10.8605</v>
      </c>
      <c r="E312" s="1">
        <v>45.7196</v>
      </c>
      <c r="F312" s="1">
        <v>1367.8629000000001</v>
      </c>
      <c r="G312" s="1">
        <v>2.1709999999999998</v>
      </c>
      <c r="H312" s="1">
        <v>1989</v>
      </c>
      <c r="I312" s="1" t="str">
        <f t="shared" si="4"/>
        <v>PRAV</v>
      </c>
      <c r="J312">
        <v>5.4095999999999997E-3</v>
      </c>
      <c r="K312">
        <v>-8.6163227016889995E-3</v>
      </c>
      <c r="L312">
        <v>-5.6400000000000002E-5</v>
      </c>
    </row>
    <row r="313" spans="3:12" x14ac:dyDescent="0.3">
      <c r="C313" s="1" t="s">
        <v>79</v>
      </c>
      <c r="D313" s="1">
        <v>2.0886</v>
      </c>
      <c r="E313" s="1">
        <v>46.670499999999898</v>
      </c>
      <c r="F313" s="1">
        <v>264.83069</v>
      </c>
      <c r="G313" s="1">
        <v>2.3340000000000001</v>
      </c>
      <c r="H313" s="1">
        <v>1914</v>
      </c>
      <c r="I313" s="1" t="str">
        <f t="shared" si="4"/>
        <v>PRAV</v>
      </c>
      <c r="J313">
        <v>1.49062E-2</v>
      </c>
      <c r="K313">
        <v>3.8769856160100001E-2</v>
      </c>
      <c r="L313">
        <v>-0.25414009999999998</v>
      </c>
    </row>
    <row r="314" spans="3:12" x14ac:dyDescent="0.3">
      <c r="C314" s="1" t="s">
        <v>79</v>
      </c>
      <c r="D314" s="1">
        <v>7.0965499999999997</v>
      </c>
      <c r="E314" s="1">
        <v>43.006549999999997</v>
      </c>
      <c r="F314" s="1" t="s">
        <v>112</v>
      </c>
      <c r="G314" s="1">
        <v>6.4290000000000003</v>
      </c>
      <c r="H314" s="1">
        <v>1981</v>
      </c>
      <c r="I314" s="1" t="str">
        <f t="shared" si="4"/>
        <v>PRAV</v>
      </c>
      <c r="J314" t="s">
        <v>112</v>
      </c>
      <c r="K314" t="s">
        <v>112</v>
      </c>
      <c r="L314" t="s">
        <v>112</v>
      </c>
    </row>
    <row r="315" spans="3:12" x14ac:dyDescent="0.3">
      <c r="C315" s="1" t="s">
        <v>80</v>
      </c>
      <c r="D315" s="1">
        <v>-119.4324</v>
      </c>
      <c r="E315" s="1">
        <v>37.261499999999899</v>
      </c>
      <c r="F315" s="1">
        <v>1792.5378000000001</v>
      </c>
      <c r="G315" s="1">
        <v>-3.968</v>
      </c>
      <c r="H315" s="1">
        <v>1895</v>
      </c>
      <c r="I315" s="1" t="str">
        <f t="shared" si="4"/>
        <v>PRIL</v>
      </c>
      <c r="J315">
        <v>1.62414E-2</v>
      </c>
      <c r="K315">
        <v>-8.2698561601E-3</v>
      </c>
      <c r="L315">
        <v>2.8980599999999999E-2</v>
      </c>
    </row>
    <row r="316" spans="3:12" x14ac:dyDescent="0.3">
      <c r="C316" s="1" t="s">
        <v>80</v>
      </c>
      <c r="D316" s="1">
        <v>-119.4324</v>
      </c>
      <c r="E316" s="1">
        <v>37.261499999999899</v>
      </c>
      <c r="F316" s="1">
        <v>1792.5378000000001</v>
      </c>
      <c r="G316" s="1">
        <v>-0.14899999999999999</v>
      </c>
      <c r="H316" s="1">
        <v>1895</v>
      </c>
      <c r="I316" s="1" t="str">
        <f t="shared" si="4"/>
        <v>PRIL</v>
      </c>
      <c r="J316">
        <v>1.62414E-2</v>
      </c>
      <c r="K316">
        <v>-8.2698561601E-3</v>
      </c>
      <c r="L316">
        <v>2.8980599999999999E-2</v>
      </c>
    </row>
    <row r="317" spans="3:12" x14ac:dyDescent="0.3">
      <c r="C317" s="1" t="s">
        <v>80</v>
      </c>
      <c r="D317" s="1">
        <v>-119.4324</v>
      </c>
      <c r="E317" s="1">
        <v>37.261499999999899</v>
      </c>
      <c r="F317" s="1">
        <v>1792.5378000000001</v>
      </c>
      <c r="G317" s="1">
        <v>1.212</v>
      </c>
      <c r="H317" s="1">
        <v>1895</v>
      </c>
      <c r="I317" s="1" t="str">
        <f t="shared" si="4"/>
        <v>PRIL</v>
      </c>
      <c r="J317">
        <v>1.62414E-2</v>
      </c>
      <c r="K317">
        <v>-8.2698561601E-3</v>
      </c>
      <c r="L317">
        <v>2.8980599999999999E-2</v>
      </c>
    </row>
    <row r="318" spans="3:12" x14ac:dyDescent="0.3">
      <c r="C318" s="1" t="s">
        <v>81</v>
      </c>
      <c r="D318" s="1">
        <v>5.3539166666666702</v>
      </c>
      <c r="E318" s="1">
        <v>45.007733333333299</v>
      </c>
      <c r="F318" s="1">
        <v>761.62267999999995</v>
      </c>
      <c r="G318" s="1">
        <v>-0.60199999999999998</v>
      </c>
      <c r="H318" s="1">
        <v>1905</v>
      </c>
      <c r="I318" s="1" t="str">
        <f t="shared" si="4"/>
        <v>PRMA</v>
      </c>
      <c r="J318">
        <v>1.3298900000000001E-2</v>
      </c>
      <c r="K318">
        <v>-1.2570981863665001E-2</v>
      </c>
      <c r="L318">
        <v>-0.61279859999999997</v>
      </c>
    </row>
    <row r="319" spans="3:12" x14ac:dyDescent="0.3">
      <c r="C319" s="1" t="s">
        <v>81</v>
      </c>
      <c r="D319" s="1">
        <v>10.8605</v>
      </c>
      <c r="E319" s="1">
        <v>45.7196</v>
      </c>
      <c r="F319" s="1">
        <v>1367.8629000000001</v>
      </c>
      <c r="G319" s="1">
        <v>0.88700000000000001</v>
      </c>
      <c r="H319" s="1">
        <v>1989</v>
      </c>
      <c r="I319" s="1" t="str">
        <f t="shared" si="4"/>
        <v>PRMA</v>
      </c>
      <c r="J319">
        <v>5.4095999999999997E-3</v>
      </c>
      <c r="K319">
        <v>-8.6163227016889995E-3</v>
      </c>
      <c r="L319">
        <v>-5.6400000000000002E-5</v>
      </c>
    </row>
    <row r="320" spans="3:12" x14ac:dyDescent="0.3">
      <c r="C320" s="1" t="s">
        <v>81</v>
      </c>
      <c r="D320" s="1">
        <v>7.0965499999999997</v>
      </c>
      <c r="E320" s="1">
        <v>43.006549999999997</v>
      </c>
      <c r="F320" s="1" t="s">
        <v>112</v>
      </c>
      <c r="G320" s="1">
        <v>7.2140000000000004</v>
      </c>
      <c r="H320" s="1">
        <v>1981</v>
      </c>
      <c r="I320" s="1" t="str">
        <f t="shared" si="4"/>
        <v>PRMA</v>
      </c>
      <c r="J320" t="s">
        <v>112</v>
      </c>
      <c r="K320" t="s">
        <v>112</v>
      </c>
      <c r="L320" t="s">
        <v>112</v>
      </c>
    </row>
    <row r="321" spans="3:12" x14ac:dyDescent="0.3">
      <c r="C321" s="1" t="s">
        <v>82</v>
      </c>
      <c r="D321" s="1">
        <v>10.8605</v>
      </c>
      <c r="E321" s="1">
        <v>45.7196</v>
      </c>
      <c r="F321" s="1">
        <v>1367.8629000000001</v>
      </c>
      <c r="G321" s="1">
        <v>-3.9569999999999999</v>
      </c>
      <c r="H321" s="1">
        <v>1989</v>
      </c>
      <c r="I321" s="1" t="str">
        <f t="shared" si="4"/>
        <v>PRPE</v>
      </c>
      <c r="J321">
        <v>5.4095999999999997E-3</v>
      </c>
      <c r="K321">
        <v>-8.6163227016889995E-3</v>
      </c>
      <c r="L321">
        <v>-5.6400000000000002E-5</v>
      </c>
    </row>
    <row r="322" spans="3:12" x14ac:dyDescent="0.3">
      <c r="C322" s="1" t="s">
        <v>82</v>
      </c>
      <c r="D322" s="1">
        <v>-119.4324</v>
      </c>
      <c r="E322" s="1">
        <v>37.261499999999899</v>
      </c>
      <c r="F322" s="1">
        <v>1792.5378000000001</v>
      </c>
      <c r="G322" s="1">
        <v>4.8150000000000004</v>
      </c>
      <c r="H322" s="1">
        <v>1895</v>
      </c>
      <c r="I322" s="1" t="str">
        <f t="shared" si="4"/>
        <v>PRPE</v>
      </c>
      <c r="J322">
        <v>1.62414E-2</v>
      </c>
      <c r="K322">
        <v>-8.2698561601E-3</v>
      </c>
      <c r="L322">
        <v>2.8980599999999999E-2</v>
      </c>
    </row>
    <row r="323" spans="3:12" x14ac:dyDescent="0.3">
      <c r="C323" s="1" t="s">
        <v>83</v>
      </c>
      <c r="D323" s="1">
        <v>-71.156700000000001</v>
      </c>
      <c r="E323" s="1">
        <v>45.460099999999898</v>
      </c>
      <c r="F323" s="1">
        <v>901.67474000000004</v>
      </c>
      <c r="G323" s="1">
        <v>1.349</v>
      </c>
      <c r="H323" s="1">
        <v>1970</v>
      </c>
      <c r="I323" s="1" t="str">
        <f t="shared" ref="I323:I386" si="5">RIGHT(LEFT(C323,5),4)</f>
        <v>PRSE</v>
      </c>
      <c r="J323">
        <v>6.8230000000000001E-3</v>
      </c>
      <c r="K323">
        <v>1.2881801125703999E-2</v>
      </c>
      <c r="L323">
        <v>0.35348039999999997</v>
      </c>
    </row>
    <row r="324" spans="3:12" x14ac:dyDescent="0.3">
      <c r="C324" s="1" t="s">
        <v>78</v>
      </c>
      <c r="D324" s="1">
        <v>10.8605</v>
      </c>
      <c r="E324" s="1">
        <v>45.7196</v>
      </c>
      <c r="F324" s="1">
        <v>1367.8629000000001</v>
      </c>
      <c r="G324" s="1">
        <v>0.24099999999999999</v>
      </c>
      <c r="H324" s="1">
        <v>1989</v>
      </c>
      <c r="I324" s="1" t="str">
        <f t="shared" si="5"/>
        <v>PRSP</v>
      </c>
      <c r="J324">
        <v>5.4095999999999997E-3</v>
      </c>
      <c r="K324">
        <v>-8.6163227016889995E-3</v>
      </c>
      <c r="L324">
        <v>-5.6400000000000002E-5</v>
      </c>
    </row>
    <row r="325" spans="3:12" x14ac:dyDescent="0.3">
      <c r="C325" s="1" t="s">
        <v>78</v>
      </c>
      <c r="D325" s="1">
        <v>7.0965499999999997</v>
      </c>
      <c r="E325" s="1">
        <v>43.006549999999997</v>
      </c>
      <c r="F325" s="1" t="s">
        <v>112</v>
      </c>
      <c r="G325" s="1">
        <v>1</v>
      </c>
      <c r="H325" s="1">
        <v>1981</v>
      </c>
      <c r="I325" s="1" t="str">
        <f t="shared" si="5"/>
        <v>PRSP</v>
      </c>
      <c r="J325" t="s">
        <v>112</v>
      </c>
      <c r="K325" t="s">
        <v>112</v>
      </c>
      <c r="L325" t="s">
        <v>112</v>
      </c>
    </row>
    <row r="326" spans="3:12" x14ac:dyDescent="0.3">
      <c r="C326" s="1" t="s">
        <v>78</v>
      </c>
      <c r="D326" s="1">
        <v>5.3539166666666702</v>
      </c>
      <c r="E326" s="1">
        <v>45.007733333333299</v>
      </c>
      <c r="F326" s="1">
        <v>761.62267999999995</v>
      </c>
      <c r="G326" s="1">
        <v>3.67</v>
      </c>
      <c r="H326" s="1">
        <v>1905</v>
      </c>
      <c r="I326" s="1" t="str">
        <f t="shared" si="5"/>
        <v>PRSP</v>
      </c>
      <c r="J326">
        <v>1.3298900000000001E-2</v>
      </c>
      <c r="K326">
        <v>-1.2570981863665001E-2</v>
      </c>
      <c r="L326">
        <v>-0.61279859999999997</v>
      </c>
    </row>
    <row r="327" spans="3:12" x14ac:dyDescent="0.3">
      <c r="C327" s="1" t="s">
        <v>84</v>
      </c>
      <c r="D327" s="1">
        <v>-71.156700000000001</v>
      </c>
      <c r="E327" s="1">
        <v>45.460099999999898</v>
      </c>
      <c r="F327" s="1">
        <v>901.67474000000004</v>
      </c>
      <c r="G327" s="1">
        <v>1.4650000000000001</v>
      </c>
      <c r="H327" s="1">
        <v>1970</v>
      </c>
      <c r="I327" s="1" t="str">
        <f t="shared" si="5"/>
        <v>PRVI</v>
      </c>
      <c r="J327">
        <v>6.8230000000000001E-3</v>
      </c>
      <c r="K327">
        <v>1.2881801125703999E-2</v>
      </c>
      <c r="L327">
        <v>0.35348039999999997</v>
      </c>
    </row>
    <row r="328" spans="3:12" x14ac:dyDescent="0.3">
      <c r="C328" s="1" t="s">
        <v>84</v>
      </c>
      <c r="D328" s="1">
        <v>-119.4324</v>
      </c>
      <c r="E328" s="1">
        <v>37.261499999999899</v>
      </c>
      <c r="F328" s="1">
        <v>1792.5378000000001</v>
      </c>
      <c r="G328" s="1">
        <v>5.7169999999999996</v>
      </c>
      <c r="H328" s="1">
        <v>1895</v>
      </c>
      <c r="I328" s="1" t="str">
        <f t="shared" si="5"/>
        <v>PRVI</v>
      </c>
      <c r="J328">
        <v>1.62414E-2</v>
      </c>
      <c r="K328">
        <v>-8.2698561601E-3</v>
      </c>
      <c r="L328">
        <v>2.8980599999999999E-2</v>
      </c>
    </row>
    <row r="329" spans="3:12" x14ac:dyDescent="0.3">
      <c r="C329" s="1" t="s">
        <v>85</v>
      </c>
      <c r="D329" s="1">
        <v>-120.3503</v>
      </c>
      <c r="E329" s="1">
        <v>39.061799999999899</v>
      </c>
      <c r="F329" s="1">
        <v>1967.6869999999999</v>
      </c>
      <c r="G329" s="1">
        <v>0</v>
      </c>
      <c r="H329" s="1">
        <v>1934</v>
      </c>
      <c r="I329" s="1" t="str">
        <f t="shared" si="5"/>
        <v>PSME</v>
      </c>
      <c r="J329">
        <v>1.9990600000000001E-2</v>
      </c>
      <c r="K329">
        <v>-3.4824577861162997E-2</v>
      </c>
      <c r="L329">
        <v>5.3423999999999999E-2</v>
      </c>
    </row>
    <row r="330" spans="3:12" x14ac:dyDescent="0.3">
      <c r="C330" s="1" t="s">
        <v>85</v>
      </c>
      <c r="D330" s="1">
        <v>-110.7542</v>
      </c>
      <c r="E330" s="1">
        <v>32.437800000000003</v>
      </c>
      <c r="F330" s="1">
        <v>2398.3027000000002</v>
      </c>
      <c r="G330" s="1">
        <v>0</v>
      </c>
      <c r="H330" s="1">
        <v>1963</v>
      </c>
      <c r="I330" s="1" t="str">
        <f t="shared" si="5"/>
        <v>PSME</v>
      </c>
      <c r="J330">
        <v>1.6810499999999999E-2</v>
      </c>
      <c r="K330">
        <v>7.7042839274546998E-2</v>
      </c>
      <c r="L330">
        <v>-5.29769E-2</v>
      </c>
    </row>
    <row r="331" spans="3:12" x14ac:dyDescent="0.3">
      <c r="C331" s="1" t="s">
        <v>85</v>
      </c>
      <c r="D331" s="1">
        <v>-110.7542</v>
      </c>
      <c r="E331" s="1">
        <v>32.437800000000003</v>
      </c>
      <c r="F331" s="1">
        <v>2398.3027000000002</v>
      </c>
      <c r="G331" s="1">
        <v>0</v>
      </c>
      <c r="H331" s="1">
        <v>1963</v>
      </c>
      <c r="I331" s="1" t="str">
        <f t="shared" si="5"/>
        <v>PSME</v>
      </c>
      <c r="J331">
        <v>1.6810499999999999E-2</v>
      </c>
      <c r="K331">
        <v>7.7042839274546998E-2</v>
      </c>
      <c r="L331">
        <v>-5.29769E-2</v>
      </c>
    </row>
    <row r="332" spans="3:12" x14ac:dyDescent="0.3">
      <c r="C332" s="1" t="s">
        <v>85</v>
      </c>
      <c r="D332" s="1">
        <v>-119.4324</v>
      </c>
      <c r="E332" s="1">
        <v>37.261499999999899</v>
      </c>
      <c r="F332" s="1">
        <v>1792.5378000000001</v>
      </c>
      <c r="G332" s="1">
        <v>0.06</v>
      </c>
      <c r="H332" s="1">
        <v>1895</v>
      </c>
      <c r="I332" s="1" t="str">
        <f t="shared" si="5"/>
        <v>PSME</v>
      </c>
      <c r="J332">
        <v>1.62414E-2</v>
      </c>
      <c r="K332">
        <v>-8.2698561601E-3</v>
      </c>
      <c r="L332">
        <v>2.8980599999999999E-2</v>
      </c>
    </row>
    <row r="333" spans="3:12" x14ac:dyDescent="0.3">
      <c r="C333" s="1" t="s">
        <v>85</v>
      </c>
      <c r="D333" s="1">
        <v>7.0965499999999997</v>
      </c>
      <c r="E333" s="1">
        <v>43.006549999999997</v>
      </c>
      <c r="F333" s="1" t="s">
        <v>112</v>
      </c>
      <c r="G333" s="1">
        <v>1.286</v>
      </c>
      <c r="H333" s="1">
        <v>1981</v>
      </c>
      <c r="I333" s="1" t="str">
        <f t="shared" si="5"/>
        <v>PSME</v>
      </c>
      <c r="J333" t="s">
        <v>112</v>
      </c>
      <c r="K333" t="s">
        <v>112</v>
      </c>
      <c r="L333" t="s">
        <v>112</v>
      </c>
    </row>
    <row r="334" spans="3:12" x14ac:dyDescent="0.3">
      <c r="C334" s="1" t="s">
        <v>85</v>
      </c>
      <c r="D334" s="1">
        <v>-121.3335</v>
      </c>
      <c r="E334" s="1">
        <v>38.500700000000002</v>
      </c>
      <c r="F334" s="1">
        <v>17.796066</v>
      </c>
      <c r="G334" s="1">
        <v>3.3660000000000001</v>
      </c>
      <c r="H334" s="1">
        <v>1930</v>
      </c>
      <c r="I334" s="1" t="str">
        <f t="shared" si="5"/>
        <v>PSME</v>
      </c>
      <c r="J334">
        <v>7.2951999999999999E-3</v>
      </c>
      <c r="K334">
        <v>4.4734208880549998E-3</v>
      </c>
      <c r="L334">
        <v>3.0206E-3</v>
      </c>
    </row>
    <row r="335" spans="3:12" x14ac:dyDescent="0.3">
      <c r="C335" s="1" t="s">
        <v>86</v>
      </c>
      <c r="D335" s="1">
        <v>-119.4324</v>
      </c>
      <c r="E335" s="1">
        <v>37.261499999999899</v>
      </c>
      <c r="F335" s="1">
        <v>1792.5378000000001</v>
      </c>
      <c r="G335" s="1">
        <v>-2.5329999999999999</v>
      </c>
      <c r="H335" s="1">
        <v>1895</v>
      </c>
      <c r="I335" s="1" t="str">
        <f t="shared" si="5"/>
        <v>QUAG</v>
      </c>
      <c r="J335">
        <v>1.62414E-2</v>
      </c>
      <c r="K335">
        <v>-8.2698561601E-3</v>
      </c>
      <c r="L335">
        <v>2.8980599999999999E-2</v>
      </c>
    </row>
    <row r="336" spans="3:12" x14ac:dyDescent="0.3">
      <c r="C336" s="1" t="s">
        <v>86</v>
      </c>
      <c r="D336" s="1">
        <v>-119.4324</v>
      </c>
      <c r="E336" s="1">
        <v>37.261499999999899</v>
      </c>
      <c r="F336" s="1">
        <v>1792.5378000000001</v>
      </c>
      <c r="G336" s="1">
        <v>-0.95199999999999996</v>
      </c>
      <c r="H336" s="1">
        <v>1895</v>
      </c>
      <c r="I336" s="1" t="str">
        <f t="shared" si="5"/>
        <v>QUAG</v>
      </c>
      <c r="J336">
        <v>1.62414E-2</v>
      </c>
      <c r="K336">
        <v>-8.2698561601E-3</v>
      </c>
      <c r="L336">
        <v>2.8980599999999999E-2</v>
      </c>
    </row>
    <row r="337" spans="3:12" x14ac:dyDescent="0.3">
      <c r="C337" s="1" t="s">
        <v>86</v>
      </c>
      <c r="D337" s="1">
        <v>-119.4324</v>
      </c>
      <c r="E337" s="1">
        <v>37.261499999999899</v>
      </c>
      <c r="F337" s="1">
        <v>1792.5378000000001</v>
      </c>
      <c r="G337" s="1">
        <v>-0.65500000000000003</v>
      </c>
      <c r="H337" s="1">
        <v>1895</v>
      </c>
      <c r="I337" s="1" t="str">
        <f t="shared" si="5"/>
        <v>QUAG</v>
      </c>
      <c r="J337">
        <v>1.62414E-2</v>
      </c>
      <c r="K337">
        <v>-8.2698561601E-3</v>
      </c>
      <c r="L337">
        <v>2.8980599999999999E-2</v>
      </c>
    </row>
    <row r="338" spans="3:12" x14ac:dyDescent="0.3">
      <c r="C338" s="1" t="s">
        <v>87</v>
      </c>
      <c r="D338" s="1">
        <v>-119.4324</v>
      </c>
      <c r="E338" s="1">
        <v>37.261499999999899</v>
      </c>
      <c r="F338" s="1">
        <v>1792.5378000000001</v>
      </c>
      <c r="G338" s="1">
        <v>-0.36699999999999999</v>
      </c>
      <c r="H338" s="1">
        <v>1895</v>
      </c>
      <c r="I338" s="1" t="str">
        <f t="shared" si="5"/>
        <v>QUBE</v>
      </c>
      <c r="J338">
        <v>1.62414E-2</v>
      </c>
      <c r="K338">
        <v>-8.2698561601E-3</v>
      </c>
      <c r="L338">
        <v>2.8980599999999999E-2</v>
      </c>
    </row>
    <row r="339" spans="3:12" x14ac:dyDescent="0.3">
      <c r="C339" s="1" t="s">
        <v>87</v>
      </c>
      <c r="D339" s="1">
        <v>-121.3335</v>
      </c>
      <c r="E339" s="1">
        <v>38.500700000000002</v>
      </c>
      <c r="F339" s="1">
        <v>17.796066</v>
      </c>
      <c r="G339" s="1">
        <v>9.4039999999999999</v>
      </c>
      <c r="H339" s="1">
        <v>1930</v>
      </c>
      <c r="I339" s="1" t="str">
        <f t="shared" si="5"/>
        <v>QUBE</v>
      </c>
      <c r="J339">
        <v>7.2951999999999999E-3</v>
      </c>
      <c r="K339">
        <v>4.4734208880549998E-3</v>
      </c>
      <c r="L339">
        <v>3.0206E-3</v>
      </c>
    </row>
    <row r="340" spans="3:12" x14ac:dyDescent="0.3">
      <c r="C340" s="1" t="s">
        <v>88</v>
      </c>
      <c r="D340" s="1">
        <v>7.0965499999999997</v>
      </c>
      <c r="E340" s="1">
        <v>43.006549999999997</v>
      </c>
      <c r="F340" s="1" t="s">
        <v>112</v>
      </c>
      <c r="G340" s="1">
        <v>-4.1429999999999998</v>
      </c>
      <c r="H340" s="1">
        <v>1981</v>
      </c>
      <c r="I340" s="1" t="str">
        <f t="shared" si="5"/>
        <v>QUCO</v>
      </c>
      <c r="J340" t="s">
        <v>112</v>
      </c>
      <c r="K340" t="s">
        <v>112</v>
      </c>
      <c r="L340" t="s">
        <v>112</v>
      </c>
    </row>
    <row r="341" spans="3:12" x14ac:dyDescent="0.3">
      <c r="C341" s="1" t="s">
        <v>88</v>
      </c>
      <c r="D341" s="1">
        <v>-116.7925</v>
      </c>
      <c r="E341" s="1">
        <v>33.768999999999899</v>
      </c>
      <c r="F341" s="1">
        <v>1513.3244999999999</v>
      </c>
      <c r="G341" s="1">
        <v>1.2130000000000001</v>
      </c>
      <c r="H341" s="1">
        <v>1977</v>
      </c>
      <c r="I341" s="1" t="str">
        <f t="shared" si="5"/>
        <v>QUCO</v>
      </c>
      <c r="J341">
        <v>2.6838600000000001E-2</v>
      </c>
      <c r="K341">
        <v>-6.1100687929999998E-4</v>
      </c>
      <c r="L341">
        <v>0.13134770000000001</v>
      </c>
    </row>
    <row r="342" spans="3:12" x14ac:dyDescent="0.3">
      <c r="C342" s="1" t="s">
        <v>88</v>
      </c>
      <c r="D342" s="1">
        <v>-119.4324</v>
      </c>
      <c r="E342" s="1">
        <v>37.261499999999899</v>
      </c>
      <c r="F342" s="1">
        <v>1792.5378000000001</v>
      </c>
      <c r="G342" s="1">
        <v>1.756</v>
      </c>
      <c r="H342" s="1">
        <v>1895</v>
      </c>
      <c r="I342" s="1" t="str">
        <f t="shared" si="5"/>
        <v>QUCO</v>
      </c>
      <c r="J342">
        <v>1.62414E-2</v>
      </c>
      <c r="K342">
        <v>-8.2698561601E-3</v>
      </c>
      <c r="L342">
        <v>2.8980599999999999E-2</v>
      </c>
    </row>
    <row r="343" spans="3:12" x14ac:dyDescent="0.3">
      <c r="C343" s="1" t="s">
        <v>89</v>
      </c>
      <c r="D343" s="1">
        <v>-110.7542</v>
      </c>
      <c r="E343" s="1">
        <v>32.437800000000003</v>
      </c>
      <c r="F343" s="1">
        <v>2398.3027000000002</v>
      </c>
      <c r="G343" s="1">
        <v>0</v>
      </c>
      <c r="H343" s="1">
        <v>1963</v>
      </c>
      <c r="I343" s="1" t="str">
        <f t="shared" si="5"/>
        <v>QUGI</v>
      </c>
      <c r="J343">
        <v>1.6810499999999999E-2</v>
      </c>
      <c r="K343">
        <v>7.7042839274546998E-2</v>
      </c>
      <c r="L343">
        <v>-5.29769E-2</v>
      </c>
    </row>
    <row r="344" spans="3:12" x14ac:dyDescent="0.3">
      <c r="C344" s="1" t="s">
        <v>89</v>
      </c>
      <c r="D344" s="1">
        <v>-110.7542</v>
      </c>
      <c r="E344" s="1">
        <v>32.437800000000003</v>
      </c>
      <c r="F344" s="1">
        <v>2398.3027000000002</v>
      </c>
      <c r="G344" s="1">
        <v>5.1509999999999998</v>
      </c>
      <c r="H344" s="1">
        <v>1963</v>
      </c>
      <c r="I344" s="1" t="str">
        <f t="shared" si="5"/>
        <v>QUGI</v>
      </c>
      <c r="J344">
        <v>1.6810499999999999E-2</v>
      </c>
      <c r="K344">
        <v>7.7042839274546998E-2</v>
      </c>
      <c r="L344">
        <v>-5.29769E-2</v>
      </c>
    </row>
    <row r="345" spans="3:12" x14ac:dyDescent="0.3">
      <c r="C345" s="1" t="s">
        <v>90</v>
      </c>
      <c r="D345" s="1">
        <v>-119.4324</v>
      </c>
      <c r="E345" s="1">
        <v>37.261499999999899</v>
      </c>
      <c r="F345" s="1">
        <v>1792.5378000000001</v>
      </c>
      <c r="G345" s="1">
        <v>-2.754</v>
      </c>
      <c r="H345" s="1">
        <v>1895</v>
      </c>
      <c r="I345" s="1" t="str">
        <f t="shared" si="5"/>
        <v>QUGA</v>
      </c>
      <c r="J345">
        <v>1.62414E-2</v>
      </c>
      <c r="K345">
        <v>-8.2698561601E-3</v>
      </c>
      <c r="L345">
        <v>2.8980599999999999E-2</v>
      </c>
    </row>
    <row r="346" spans="3:12" x14ac:dyDescent="0.3">
      <c r="C346" s="1" t="s">
        <v>90</v>
      </c>
      <c r="D346" s="1">
        <v>-121.3335</v>
      </c>
      <c r="E346" s="1">
        <v>38.500700000000002</v>
      </c>
      <c r="F346" s="1">
        <v>17.796066</v>
      </c>
      <c r="G346" s="1">
        <v>-0.437</v>
      </c>
      <c r="H346" s="1">
        <v>1930</v>
      </c>
      <c r="I346" s="1" t="str">
        <f t="shared" si="5"/>
        <v>QUGA</v>
      </c>
      <c r="J346">
        <v>7.2951999999999999E-3</v>
      </c>
      <c r="K346">
        <v>4.4734208880549998E-3</v>
      </c>
      <c r="L346">
        <v>3.0206E-3</v>
      </c>
    </row>
    <row r="347" spans="3:12" x14ac:dyDescent="0.3">
      <c r="C347" s="1" t="s">
        <v>90</v>
      </c>
      <c r="D347" s="1">
        <v>-119.4324</v>
      </c>
      <c r="E347" s="1">
        <v>37.261499999999899</v>
      </c>
      <c r="F347" s="1">
        <v>1792.5378000000001</v>
      </c>
      <c r="G347" s="1">
        <v>1.3480000000000001</v>
      </c>
      <c r="H347" s="1">
        <v>1895</v>
      </c>
      <c r="I347" s="1" t="str">
        <f t="shared" si="5"/>
        <v>QUGA</v>
      </c>
      <c r="J347">
        <v>1.62414E-2</v>
      </c>
      <c r="K347">
        <v>-8.2698561601E-3</v>
      </c>
      <c r="L347">
        <v>2.8980599999999999E-2</v>
      </c>
    </row>
    <row r="348" spans="3:12" x14ac:dyDescent="0.3">
      <c r="C348" s="1" t="s">
        <v>90</v>
      </c>
      <c r="D348" s="1">
        <v>-119.4324</v>
      </c>
      <c r="E348" s="1">
        <v>37.261499999999899</v>
      </c>
      <c r="F348" s="1">
        <v>1792.5378000000001</v>
      </c>
      <c r="G348" s="1">
        <v>1.7210000000000001</v>
      </c>
      <c r="H348" s="1">
        <v>1895</v>
      </c>
      <c r="I348" s="1" t="str">
        <f t="shared" si="5"/>
        <v>QUGA</v>
      </c>
      <c r="J348">
        <v>1.62414E-2</v>
      </c>
      <c r="K348">
        <v>-8.2698561601E-3</v>
      </c>
      <c r="L348">
        <v>2.8980599999999999E-2</v>
      </c>
    </row>
    <row r="349" spans="3:12" x14ac:dyDescent="0.3">
      <c r="C349" s="1" t="s">
        <v>90</v>
      </c>
      <c r="D349" s="1">
        <v>-119.4324</v>
      </c>
      <c r="E349" s="1">
        <v>37.261499999999899</v>
      </c>
      <c r="F349" s="1">
        <v>1792.5378000000001</v>
      </c>
      <c r="G349" s="1">
        <v>3.3809999999999998</v>
      </c>
      <c r="H349" s="1">
        <v>1895</v>
      </c>
      <c r="I349" s="1" t="str">
        <f t="shared" si="5"/>
        <v>QUGA</v>
      </c>
      <c r="J349">
        <v>1.62414E-2</v>
      </c>
      <c r="K349">
        <v>-8.2698561601E-3</v>
      </c>
      <c r="L349">
        <v>2.8980599999999999E-2</v>
      </c>
    </row>
    <row r="350" spans="3:12" x14ac:dyDescent="0.3">
      <c r="C350" s="1" t="s">
        <v>91</v>
      </c>
      <c r="D350" s="1">
        <v>-0.96830000000000005</v>
      </c>
      <c r="E350" s="1">
        <v>42.850900000000003</v>
      </c>
      <c r="F350" s="1">
        <v>1479.7910999999999</v>
      </c>
      <c r="G350" s="1">
        <v>0</v>
      </c>
      <c r="H350" s="1">
        <v>1971</v>
      </c>
      <c r="I350" s="1" t="str">
        <f t="shared" si="5"/>
        <v>QUIL</v>
      </c>
      <c r="J350">
        <v>2.1006899999999998E-2</v>
      </c>
      <c r="K350">
        <v>-1.9869606003752E-2</v>
      </c>
      <c r="L350">
        <v>-0.3330362</v>
      </c>
    </row>
    <row r="351" spans="3:12" x14ac:dyDescent="0.3">
      <c r="C351" s="1" t="s">
        <v>91</v>
      </c>
      <c r="D351" s="1">
        <v>-0.96830000000000005</v>
      </c>
      <c r="E351" s="1">
        <v>42.850900000000003</v>
      </c>
      <c r="F351" s="1">
        <v>1479.7910999999999</v>
      </c>
      <c r="G351" s="1">
        <v>0</v>
      </c>
      <c r="H351" s="1">
        <v>1971</v>
      </c>
      <c r="I351" s="1" t="str">
        <f t="shared" si="5"/>
        <v>QUIL</v>
      </c>
      <c r="J351">
        <v>2.1006899999999998E-2</v>
      </c>
      <c r="K351">
        <v>-1.9869606003752E-2</v>
      </c>
      <c r="L351">
        <v>-0.3330362</v>
      </c>
    </row>
    <row r="352" spans="3:12" x14ac:dyDescent="0.3">
      <c r="C352" s="1" t="s">
        <v>91</v>
      </c>
      <c r="D352" s="1">
        <v>-0.96830000000000005</v>
      </c>
      <c r="E352" s="1">
        <v>42.850900000000003</v>
      </c>
      <c r="F352" s="1">
        <v>1479.7910999999999</v>
      </c>
      <c r="G352" s="1">
        <v>0</v>
      </c>
      <c r="H352" s="1">
        <v>1971</v>
      </c>
      <c r="I352" s="1" t="str">
        <f t="shared" si="5"/>
        <v>QUIL</v>
      </c>
      <c r="J352">
        <v>2.1006899999999998E-2</v>
      </c>
      <c r="K352">
        <v>-1.9869606003752E-2</v>
      </c>
      <c r="L352">
        <v>-0.3330362</v>
      </c>
    </row>
    <row r="353" spans="3:12" x14ac:dyDescent="0.3">
      <c r="C353" s="1" t="s">
        <v>91</v>
      </c>
      <c r="D353" s="1">
        <v>10.8605</v>
      </c>
      <c r="E353" s="1">
        <v>45.7196</v>
      </c>
      <c r="F353" s="1">
        <v>1367.8629000000001</v>
      </c>
      <c r="G353" s="1">
        <v>1.3560000000000001</v>
      </c>
      <c r="H353" s="1">
        <v>1989</v>
      </c>
      <c r="I353" s="1" t="str">
        <f t="shared" si="5"/>
        <v>QUIL</v>
      </c>
      <c r="J353">
        <v>5.4095999999999997E-3</v>
      </c>
      <c r="K353">
        <v>-8.6163227016889995E-3</v>
      </c>
      <c r="L353">
        <v>-5.6400000000000002E-5</v>
      </c>
    </row>
    <row r="354" spans="3:12" x14ac:dyDescent="0.3">
      <c r="C354" s="1" t="s">
        <v>91</v>
      </c>
      <c r="D354" s="1">
        <v>0.92149999999999999</v>
      </c>
      <c r="E354" s="1">
        <v>42.328499999999899</v>
      </c>
      <c r="F354" s="1">
        <v>953.21105999999997</v>
      </c>
      <c r="G354" s="1">
        <v>2</v>
      </c>
      <c r="H354" s="1">
        <v>1986</v>
      </c>
      <c r="I354" s="1" t="str">
        <f t="shared" si="5"/>
        <v>QUIL</v>
      </c>
      <c r="J354">
        <v>1.85022E-2</v>
      </c>
      <c r="K354">
        <v>-6.2043464665416E-2</v>
      </c>
      <c r="L354">
        <v>-0.70604440000000002</v>
      </c>
    </row>
    <row r="355" spans="3:12" x14ac:dyDescent="0.3">
      <c r="C355" s="1" t="s">
        <v>91</v>
      </c>
      <c r="D355" s="1">
        <v>7.0965499999999997</v>
      </c>
      <c r="E355" s="1">
        <v>43.006549999999997</v>
      </c>
      <c r="F355" s="1" t="s">
        <v>112</v>
      </c>
      <c r="G355" s="1">
        <v>2.1429999999999998</v>
      </c>
      <c r="H355" s="1">
        <v>1981</v>
      </c>
      <c r="I355" s="1" t="str">
        <f t="shared" si="5"/>
        <v>QUIL</v>
      </c>
      <c r="J355" t="s">
        <v>112</v>
      </c>
      <c r="K355" t="s">
        <v>112</v>
      </c>
      <c r="L355" t="s">
        <v>112</v>
      </c>
    </row>
    <row r="356" spans="3:12" x14ac:dyDescent="0.3">
      <c r="C356" s="1" t="s">
        <v>91</v>
      </c>
      <c r="D356" s="1">
        <v>-1.7858000000000001</v>
      </c>
      <c r="E356" s="1">
        <v>40.956000000000003</v>
      </c>
      <c r="F356" s="1">
        <v>1084.1304</v>
      </c>
      <c r="G356" s="1">
        <v>2.1819999999999999</v>
      </c>
      <c r="H356" s="1">
        <v>1986</v>
      </c>
      <c r="I356" s="1" t="str">
        <f t="shared" si="5"/>
        <v>QUIL</v>
      </c>
      <c r="J356">
        <v>2.3208300000000001E-2</v>
      </c>
      <c r="K356">
        <v>-5.7681050656660002E-2</v>
      </c>
      <c r="L356">
        <v>-6.4011899999999997E-2</v>
      </c>
    </row>
    <row r="357" spans="3:12" x14ac:dyDescent="0.3">
      <c r="C357" s="1" t="s">
        <v>92</v>
      </c>
      <c r="D357" s="1">
        <v>7.0965499999999997</v>
      </c>
      <c r="E357" s="1">
        <v>43.006549999999997</v>
      </c>
      <c r="F357" s="1" t="s">
        <v>112</v>
      </c>
      <c r="G357" s="1">
        <v>-5.7140000000000004</v>
      </c>
      <c r="H357" s="1">
        <v>1981</v>
      </c>
      <c r="I357" s="1" t="str">
        <f t="shared" si="5"/>
        <v>QUPE</v>
      </c>
      <c r="J357" t="s">
        <v>112</v>
      </c>
      <c r="K357" t="s">
        <v>112</v>
      </c>
      <c r="L357" t="s">
        <v>112</v>
      </c>
    </row>
    <row r="358" spans="3:12" x14ac:dyDescent="0.3">
      <c r="C358" s="1" t="s">
        <v>92</v>
      </c>
      <c r="D358" s="1">
        <v>5.3539166666666702</v>
      </c>
      <c r="E358" s="1">
        <v>45.007733333333299</v>
      </c>
      <c r="F358" s="1">
        <v>761.62267999999995</v>
      </c>
      <c r="G358" s="1">
        <v>-1.204</v>
      </c>
      <c r="H358" s="1">
        <v>1905</v>
      </c>
      <c r="I358" s="1" t="str">
        <f t="shared" si="5"/>
        <v>QUPE</v>
      </c>
      <c r="J358">
        <v>1.3298900000000001E-2</v>
      </c>
      <c r="K358">
        <v>-1.2570981863665001E-2</v>
      </c>
      <c r="L358">
        <v>-0.61279859999999997</v>
      </c>
    </row>
    <row r="359" spans="3:12" x14ac:dyDescent="0.3">
      <c r="C359" s="1" t="s">
        <v>92</v>
      </c>
      <c r="D359" s="1">
        <v>2.0886</v>
      </c>
      <c r="E359" s="1">
        <v>46.670499999999898</v>
      </c>
      <c r="F359" s="1">
        <v>264.83069</v>
      </c>
      <c r="G359" s="1">
        <v>-0.55900000000000005</v>
      </c>
      <c r="H359" s="1">
        <v>1914</v>
      </c>
      <c r="I359" s="1" t="str">
        <f t="shared" si="5"/>
        <v>QUPE</v>
      </c>
      <c r="J359">
        <v>1.49062E-2</v>
      </c>
      <c r="K359">
        <v>3.8769856160100001E-2</v>
      </c>
      <c r="L359">
        <v>-0.25414009999999998</v>
      </c>
    </row>
    <row r="360" spans="3:12" x14ac:dyDescent="0.3">
      <c r="C360" s="1" t="s">
        <v>92</v>
      </c>
      <c r="D360" s="1">
        <v>2.0886</v>
      </c>
      <c r="E360" s="1">
        <v>46.670499999999898</v>
      </c>
      <c r="F360" s="1">
        <v>264.83069</v>
      </c>
      <c r="G360" s="1">
        <v>-0.31</v>
      </c>
      <c r="H360" s="1">
        <v>1914</v>
      </c>
      <c r="I360" s="1" t="str">
        <f t="shared" si="5"/>
        <v>QUPE</v>
      </c>
      <c r="J360">
        <v>1.49062E-2</v>
      </c>
      <c r="K360">
        <v>3.8769856160100001E-2</v>
      </c>
      <c r="L360">
        <v>-0.25414009999999998</v>
      </c>
    </row>
    <row r="361" spans="3:12" x14ac:dyDescent="0.3">
      <c r="C361" s="1" t="s">
        <v>92</v>
      </c>
      <c r="D361" s="1">
        <v>2.0886</v>
      </c>
      <c r="E361" s="1">
        <v>46.670499999999898</v>
      </c>
      <c r="F361" s="1">
        <v>264.83069</v>
      </c>
      <c r="G361" s="1">
        <v>-0.155</v>
      </c>
      <c r="H361" s="1">
        <v>1914</v>
      </c>
      <c r="I361" s="1" t="str">
        <f t="shared" si="5"/>
        <v>QUPE</v>
      </c>
      <c r="J361">
        <v>1.49062E-2</v>
      </c>
      <c r="K361">
        <v>3.8769856160100001E-2</v>
      </c>
      <c r="L361">
        <v>-0.25414009999999998</v>
      </c>
    </row>
    <row r="362" spans="3:12" x14ac:dyDescent="0.3">
      <c r="C362" s="1" t="s">
        <v>92</v>
      </c>
      <c r="D362" s="1">
        <v>19.6858</v>
      </c>
      <c r="E362" s="1">
        <v>48.844700000000003</v>
      </c>
      <c r="F362" s="1">
        <v>701.47131000000002</v>
      </c>
      <c r="G362" s="1">
        <v>0</v>
      </c>
      <c r="H362" s="1">
        <v>1966</v>
      </c>
      <c r="I362" s="1" t="str">
        <f t="shared" si="5"/>
        <v>QUPE</v>
      </c>
      <c r="J362">
        <v>-1.7639100000000001E-2</v>
      </c>
      <c r="K362">
        <v>-3.2774233896185001E-2</v>
      </c>
      <c r="L362">
        <v>-0.5645559</v>
      </c>
    </row>
    <row r="363" spans="3:12" x14ac:dyDescent="0.3">
      <c r="C363" s="1" t="s">
        <v>92</v>
      </c>
      <c r="D363" s="1">
        <v>19.6858</v>
      </c>
      <c r="E363" s="1">
        <v>48.844700000000003</v>
      </c>
      <c r="F363" s="1">
        <v>701.47131000000002</v>
      </c>
      <c r="G363" s="1">
        <v>0.14799999999999999</v>
      </c>
      <c r="H363" s="1">
        <v>1966</v>
      </c>
      <c r="I363" s="1" t="str">
        <f t="shared" si="5"/>
        <v>QUPE</v>
      </c>
      <c r="J363">
        <v>-1.7639100000000001E-2</v>
      </c>
      <c r="K363">
        <v>-3.2774233896185001E-2</v>
      </c>
      <c r="L363">
        <v>-0.5645559</v>
      </c>
    </row>
    <row r="364" spans="3:12" x14ac:dyDescent="0.3">
      <c r="C364" s="1" t="s">
        <v>92</v>
      </c>
      <c r="D364" s="1">
        <v>19.6858</v>
      </c>
      <c r="E364" s="1">
        <v>48.844700000000003</v>
      </c>
      <c r="F364" s="1">
        <v>701.47131000000002</v>
      </c>
      <c r="G364" s="1">
        <v>0.52200000000000002</v>
      </c>
      <c r="H364" s="1">
        <v>1966</v>
      </c>
      <c r="I364" s="1" t="str">
        <f t="shared" si="5"/>
        <v>QUPE</v>
      </c>
      <c r="J364">
        <v>-1.7639100000000001E-2</v>
      </c>
      <c r="K364">
        <v>-3.2774233896185001E-2</v>
      </c>
      <c r="L364">
        <v>-0.5645559</v>
      </c>
    </row>
    <row r="365" spans="3:12" x14ac:dyDescent="0.3">
      <c r="C365" s="1" t="s">
        <v>92</v>
      </c>
      <c r="D365" s="1">
        <v>0.92149999999999999</v>
      </c>
      <c r="E365" s="1">
        <v>42.328499999999899</v>
      </c>
      <c r="F365" s="1">
        <v>953.21105999999997</v>
      </c>
      <c r="G365" s="1">
        <v>3.2730000000000001</v>
      </c>
      <c r="H365" s="1">
        <v>1986</v>
      </c>
      <c r="I365" s="1" t="str">
        <f t="shared" si="5"/>
        <v>QUPE</v>
      </c>
      <c r="J365">
        <v>1.85022E-2</v>
      </c>
      <c r="K365">
        <v>-6.2043464665416E-2</v>
      </c>
      <c r="L365">
        <v>-0.70604440000000002</v>
      </c>
    </row>
    <row r="366" spans="3:12" x14ac:dyDescent="0.3">
      <c r="C366" s="1" t="s">
        <v>92</v>
      </c>
      <c r="D366" s="1">
        <v>10.8605</v>
      </c>
      <c r="E366" s="1">
        <v>45.7196</v>
      </c>
      <c r="F366" s="1">
        <v>1367.8629000000001</v>
      </c>
      <c r="G366" s="1">
        <v>14.013</v>
      </c>
      <c r="H366" s="1">
        <v>1989</v>
      </c>
      <c r="I366" s="1" t="str">
        <f t="shared" si="5"/>
        <v>QUPE</v>
      </c>
      <c r="J366">
        <v>5.4095999999999997E-3</v>
      </c>
      <c r="K366">
        <v>-8.6163227016889995E-3</v>
      </c>
      <c r="L366">
        <v>-5.6400000000000002E-5</v>
      </c>
    </row>
    <row r="367" spans="3:12" x14ac:dyDescent="0.3">
      <c r="C367" s="1" t="s">
        <v>92</v>
      </c>
      <c r="D367" s="1">
        <v>-1.7858000000000001</v>
      </c>
      <c r="E367" s="1">
        <v>40.956000000000003</v>
      </c>
      <c r="F367" s="1">
        <v>1084.1304</v>
      </c>
      <c r="G367" s="1">
        <v>16.454999999999998</v>
      </c>
      <c r="H367" s="1">
        <v>1986</v>
      </c>
      <c r="I367" s="1" t="str">
        <f t="shared" si="5"/>
        <v>QUPE</v>
      </c>
      <c r="J367">
        <v>2.3208300000000001E-2</v>
      </c>
      <c r="K367">
        <v>-5.7681050656660002E-2</v>
      </c>
      <c r="L367">
        <v>-6.4011899999999997E-2</v>
      </c>
    </row>
    <row r="368" spans="3:12" x14ac:dyDescent="0.3">
      <c r="C368" s="1" t="s">
        <v>93</v>
      </c>
      <c r="D368" s="1">
        <v>5.3539166666666702</v>
      </c>
      <c r="E368" s="1">
        <v>45.007733333333299</v>
      </c>
      <c r="F368" s="1">
        <v>761.62267999999995</v>
      </c>
      <c r="G368" s="1">
        <v>-6.7380000000000004</v>
      </c>
      <c r="H368" s="1">
        <v>1905</v>
      </c>
      <c r="I368" s="1" t="str">
        <f t="shared" si="5"/>
        <v>QUPU</v>
      </c>
      <c r="J368">
        <v>1.3298900000000001E-2</v>
      </c>
      <c r="K368">
        <v>-1.2570981863665001E-2</v>
      </c>
      <c r="L368">
        <v>-0.61279859999999997</v>
      </c>
    </row>
    <row r="369" spans="3:12" x14ac:dyDescent="0.3">
      <c r="C369" s="1" t="s">
        <v>93</v>
      </c>
      <c r="D369" s="1">
        <v>10.8605</v>
      </c>
      <c r="E369" s="1">
        <v>45.7196</v>
      </c>
      <c r="F369" s="1">
        <v>1367.8629000000001</v>
      </c>
      <c r="G369" s="1">
        <v>0.71299999999999997</v>
      </c>
      <c r="H369" s="1">
        <v>1989</v>
      </c>
      <c r="I369" s="1" t="str">
        <f t="shared" si="5"/>
        <v>QUPU</v>
      </c>
      <c r="J369">
        <v>5.4095999999999997E-3</v>
      </c>
      <c r="K369">
        <v>-8.6163227016889995E-3</v>
      </c>
      <c r="L369">
        <v>-5.6400000000000002E-5</v>
      </c>
    </row>
    <row r="370" spans="3:12" x14ac:dyDescent="0.3">
      <c r="C370" s="1" t="s">
        <v>93</v>
      </c>
      <c r="D370" s="1">
        <v>-0.96830000000000005</v>
      </c>
      <c r="E370" s="1">
        <v>42.850900000000003</v>
      </c>
      <c r="F370" s="1">
        <v>1479.7910999999999</v>
      </c>
      <c r="G370" s="1">
        <v>1</v>
      </c>
      <c r="H370" s="1">
        <v>1971</v>
      </c>
      <c r="I370" s="1" t="str">
        <f t="shared" si="5"/>
        <v>QUPU</v>
      </c>
      <c r="J370">
        <v>2.1006899999999998E-2</v>
      </c>
      <c r="K370">
        <v>-1.9869606003752E-2</v>
      </c>
      <c r="L370">
        <v>-0.3330362</v>
      </c>
    </row>
    <row r="371" spans="3:12" x14ac:dyDescent="0.3">
      <c r="C371" s="1" t="s">
        <v>93</v>
      </c>
      <c r="D371" s="1">
        <v>-0.96830000000000005</v>
      </c>
      <c r="E371" s="1">
        <v>42.850900000000003</v>
      </c>
      <c r="F371" s="1">
        <v>1479.7910999999999</v>
      </c>
      <c r="G371" s="1">
        <v>3</v>
      </c>
      <c r="H371" s="1">
        <v>1971</v>
      </c>
      <c r="I371" s="1" t="str">
        <f t="shared" si="5"/>
        <v>QUPU</v>
      </c>
      <c r="J371">
        <v>2.1006899999999998E-2</v>
      </c>
      <c r="K371">
        <v>-1.9869606003752E-2</v>
      </c>
      <c r="L371">
        <v>-0.3330362</v>
      </c>
    </row>
    <row r="372" spans="3:12" x14ac:dyDescent="0.3">
      <c r="C372" s="1" t="s">
        <v>93</v>
      </c>
      <c r="D372" s="1">
        <v>7.0965499999999997</v>
      </c>
      <c r="E372" s="1">
        <v>43.006549999999997</v>
      </c>
      <c r="F372" s="1" t="s">
        <v>112</v>
      </c>
      <c r="G372" s="1">
        <v>5.8570000000000002</v>
      </c>
      <c r="H372" s="1">
        <v>1981</v>
      </c>
      <c r="I372" s="1" t="str">
        <f t="shared" si="5"/>
        <v>QUPU</v>
      </c>
      <c r="J372" t="s">
        <v>112</v>
      </c>
      <c r="K372" t="s">
        <v>112</v>
      </c>
      <c r="L372" t="s">
        <v>112</v>
      </c>
    </row>
    <row r="373" spans="3:12" x14ac:dyDescent="0.3">
      <c r="C373" s="1" t="s">
        <v>94</v>
      </c>
      <c r="D373" s="1">
        <v>5.3539166666666702</v>
      </c>
      <c r="E373" s="1">
        <v>45.007733333333299</v>
      </c>
      <c r="F373" s="1">
        <v>761.62267999999995</v>
      </c>
      <c r="G373" s="1">
        <v>-1.476</v>
      </c>
      <c r="H373" s="1">
        <v>1905</v>
      </c>
      <c r="I373" s="1" t="str">
        <f t="shared" si="5"/>
        <v>QURO</v>
      </c>
      <c r="J373">
        <v>1.3298900000000001E-2</v>
      </c>
      <c r="K373">
        <v>-1.2570981863665001E-2</v>
      </c>
      <c r="L373">
        <v>-0.61279859999999997</v>
      </c>
    </row>
    <row r="374" spans="3:12" x14ac:dyDescent="0.3">
      <c r="C374" s="1" t="s">
        <v>94</v>
      </c>
      <c r="D374" s="1">
        <v>13.4633</v>
      </c>
      <c r="E374" s="1">
        <v>48.921500000000002</v>
      </c>
      <c r="F374" s="1">
        <v>869.87121999999999</v>
      </c>
      <c r="G374" s="1">
        <v>-0.42099999999999999</v>
      </c>
      <c r="H374" s="1">
        <v>1902</v>
      </c>
      <c r="I374" s="1" t="str">
        <f t="shared" si="5"/>
        <v>QURO</v>
      </c>
      <c r="J374">
        <v>2.1232E-3</v>
      </c>
      <c r="K374">
        <v>-5.7588805503439998E-2</v>
      </c>
      <c r="L374">
        <v>-0.5666291</v>
      </c>
    </row>
    <row r="375" spans="3:12" x14ac:dyDescent="0.3">
      <c r="C375" s="1" t="s">
        <v>95</v>
      </c>
      <c r="D375" s="1">
        <v>-1.7858000000000001</v>
      </c>
      <c r="E375" s="1">
        <v>40.956000000000003</v>
      </c>
      <c r="F375" s="1">
        <v>1084.1304</v>
      </c>
      <c r="G375" s="1">
        <v>-2.7269999999999999</v>
      </c>
      <c r="H375" s="1">
        <v>1986</v>
      </c>
      <c r="I375" s="1" t="str">
        <f t="shared" si="5"/>
        <v>QUSU</v>
      </c>
      <c r="J375">
        <v>2.3208300000000001E-2</v>
      </c>
      <c r="K375">
        <v>-5.7681050656660002E-2</v>
      </c>
      <c r="L375">
        <v>-6.4011899999999997E-2</v>
      </c>
    </row>
    <row r="376" spans="3:12" x14ac:dyDescent="0.3">
      <c r="C376" s="1" t="s">
        <v>95</v>
      </c>
      <c r="D376" s="1">
        <v>0.92149999999999999</v>
      </c>
      <c r="E376" s="1">
        <v>42.328499999999899</v>
      </c>
      <c r="F376" s="1">
        <v>953.21105999999997</v>
      </c>
      <c r="G376" s="1">
        <v>-0.27300000000000002</v>
      </c>
      <c r="H376" s="1">
        <v>1986</v>
      </c>
      <c r="I376" s="1" t="str">
        <f t="shared" si="5"/>
        <v>QUSU</v>
      </c>
      <c r="J376">
        <v>1.85022E-2</v>
      </c>
      <c r="K376">
        <v>-6.2043464665416E-2</v>
      </c>
      <c r="L376">
        <v>-0.70604440000000002</v>
      </c>
    </row>
    <row r="377" spans="3:12" x14ac:dyDescent="0.3">
      <c r="C377" s="1" t="s">
        <v>96</v>
      </c>
      <c r="D377" s="1">
        <v>-119.4324</v>
      </c>
      <c r="E377" s="1">
        <v>37.261499999999899</v>
      </c>
      <c r="F377" s="1">
        <v>1792.5378000000001</v>
      </c>
      <c r="G377" s="1">
        <v>1.1819999999999999</v>
      </c>
      <c r="H377" s="1">
        <v>1895</v>
      </c>
      <c r="I377" s="1" t="str">
        <f t="shared" si="5"/>
        <v>QUTU</v>
      </c>
      <c r="J377">
        <v>1.62414E-2</v>
      </c>
      <c r="K377">
        <v>-8.2698561601E-3</v>
      </c>
      <c r="L377">
        <v>2.8980599999999999E-2</v>
      </c>
    </row>
    <row r="378" spans="3:12" x14ac:dyDescent="0.3">
      <c r="C378" s="1" t="s">
        <v>97</v>
      </c>
      <c r="D378" s="1">
        <v>-119.4324</v>
      </c>
      <c r="E378" s="1">
        <v>37.261499999999899</v>
      </c>
      <c r="F378" s="1">
        <v>1792.5378000000001</v>
      </c>
      <c r="G378" s="1">
        <v>-8.3480000000000008</v>
      </c>
      <c r="H378" s="1">
        <v>1895</v>
      </c>
      <c r="I378" s="1" t="str">
        <f t="shared" si="5"/>
        <v>QUWI</v>
      </c>
      <c r="J378">
        <v>1.62414E-2</v>
      </c>
      <c r="K378">
        <v>-8.2698561601E-3</v>
      </c>
      <c r="L378">
        <v>2.8980599999999999E-2</v>
      </c>
    </row>
    <row r="379" spans="3:12" x14ac:dyDescent="0.3">
      <c r="C379" s="1" t="s">
        <v>97</v>
      </c>
      <c r="D379" s="1">
        <v>-119.4324</v>
      </c>
      <c r="E379" s="1">
        <v>37.261499999999899</v>
      </c>
      <c r="F379" s="1">
        <v>1792.5378000000001</v>
      </c>
      <c r="G379" s="1">
        <v>1.8859999999999999</v>
      </c>
      <c r="H379" s="1">
        <v>1895</v>
      </c>
      <c r="I379" s="1" t="str">
        <f t="shared" si="5"/>
        <v>QUWI</v>
      </c>
      <c r="J379">
        <v>1.62414E-2</v>
      </c>
      <c r="K379">
        <v>-8.2698561601E-3</v>
      </c>
      <c r="L379">
        <v>2.8980599999999999E-2</v>
      </c>
    </row>
    <row r="380" spans="3:12" x14ac:dyDescent="0.3">
      <c r="C380" s="1" t="s">
        <v>97</v>
      </c>
      <c r="D380" s="1">
        <v>-119.4324</v>
      </c>
      <c r="E380" s="1">
        <v>37.261499999999899</v>
      </c>
      <c r="F380" s="1">
        <v>1792.5378000000001</v>
      </c>
      <c r="G380" s="1">
        <v>2.786</v>
      </c>
      <c r="H380" s="1">
        <v>1895</v>
      </c>
      <c r="I380" s="1" t="str">
        <f t="shared" si="5"/>
        <v>QUWI</v>
      </c>
      <c r="J380">
        <v>1.62414E-2</v>
      </c>
      <c r="K380">
        <v>-8.2698561601E-3</v>
      </c>
      <c r="L380">
        <v>2.8980599999999999E-2</v>
      </c>
    </row>
    <row r="381" spans="3:12" x14ac:dyDescent="0.3">
      <c r="C381" s="1" t="s">
        <v>98</v>
      </c>
      <c r="D381" s="1">
        <v>-119.4324</v>
      </c>
      <c r="E381" s="1">
        <v>37.261499999999899</v>
      </c>
      <c r="F381" s="1">
        <v>1792.5378000000001</v>
      </c>
      <c r="G381" s="1">
        <v>0.88200000000000001</v>
      </c>
      <c r="H381" s="1">
        <v>1895</v>
      </c>
      <c r="I381" s="1" t="str">
        <f t="shared" si="5"/>
        <v>RULE</v>
      </c>
      <c r="J381">
        <v>1.62414E-2</v>
      </c>
      <c r="K381">
        <v>-8.2698561601E-3</v>
      </c>
      <c r="L381">
        <v>2.8980599999999999E-2</v>
      </c>
    </row>
    <row r="382" spans="3:12" x14ac:dyDescent="0.3">
      <c r="C382" s="1" t="s">
        <v>99</v>
      </c>
      <c r="D382" s="1">
        <v>-119.4324</v>
      </c>
      <c r="E382" s="1">
        <v>37.261499999999899</v>
      </c>
      <c r="F382" s="1">
        <v>1792.5378000000001</v>
      </c>
      <c r="G382" s="1">
        <v>1.962</v>
      </c>
      <c r="H382" s="1">
        <v>1895</v>
      </c>
      <c r="I382" s="1" t="str">
        <f t="shared" si="5"/>
        <v>RUPA</v>
      </c>
      <c r="J382">
        <v>1.62414E-2</v>
      </c>
      <c r="K382">
        <v>-8.2698561601E-3</v>
      </c>
      <c r="L382">
        <v>2.8980599999999999E-2</v>
      </c>
    </row>
    <row r="383" spans="3:12" x14ac:dyDescent="0.3">
      <c r="C383" s="1" t="s">
        <v>99</v>
      </c>
      <c r="D383" s="1">
        <v>-119.4324</v>
      </c>
      <c r="E383" s="1">
        <v>37.261499999999899</v>
      </c>
      <c r="F383" s="1">
        <v>1792.5378000000001</v>
      </c>
      <c r="G383" s="1">
        <v>-2.73</v>
      </c>
      <c r="H383" s="1">
        <v>1895</v>
      </c>
      <c r="I383" s="1" t="str">
        <f t="shared" si="5"/>
        <v>RUPA</v>
      </c>
      <c r="J383">
        <v>1.62414E-2</v>
      </c>
      <c r="K383">
        <v>-8.2698561601E-3</v>
      </c>
      <c r="L383">
        <v>2.8980599999999999E-2</v>
      </c>
    </row>
    <row r="384" spans="3:12" x14ac:dyDescent="0.3">
      <c r="C384" s="1" t="s">
        <v>100</v>
      </c>
      <c r="D384" s="1">
        <v>-119.4324</v>
      </c>
      <c r="E384" s="1">
        <v>37.261499999999899</v>
      </c>
      <c r="F384" s="1">
        <v>1792.5378000000001</v>
      </c>
      <c r="G384" s="1">
        <v>-4.3840000000000003</v>
      </c>
      <c r="H384" s="1">
        <v>1895</v>
      </c>
      <c r="I384" s="1" t="str">
        <f t="shared" si="5"/>
        <v>SAVI</v>
      </c>
      <c r="J384">
        <v>1.62414E-2</v>
      </c>
      <c r="K384">
        <v>-8.2698561601E-3</v>
      </c>
      <c r="L384">
        <v>2.8980599999999999E-2</v>
      </c>
    </row>
    <row r="385" spans="3:12" x14ac:dyDescent="0.3">
      <c r="C385" s="1" t="s">
        <v>100</v>
      </c>
      <c r="D385" s="1">
        <v>10.8605</v>
      </c>
      <c r="E385" s="1">
        <v>45.7196</v>
      </c>
      <c r="F385" s="1">
        <v>1367.8629000000001</v>
      </c>
      <c r="G385" s="1">
        <v>16.119</v>
      </c>
      <c r="H385" s="1">
        <v>1989</v>
      </c>
      <c r="I385" s="1" t="str">
        <f t="shared" si="5"/>
        <v>SAVI</v>
      </c>
      <c r="J385">
        <v>5.4095999999999997E-3</v>
      </c>
      <c r="K385">
        <v>-8.6163227016889995E-3</v>
      </c>
      <c r="L385">
        <v>-5.6400000000000002E-5</v>
      </c>
    </row>
    <row r="386" spans="3:12" x14ac:dyDescent="0.3">
      <c r="C386" s="1" t="s">
        <v>101</v>
      </c>
      <c r="D386" s="1">
        <v>-119.4324</v>
      </c>
      <c r="E386" s="1">
        <v>37.261499999999899</v>
      </c>
      <c r="F386" s="1">
        <v>1792.5378000000001</v>
      </c>
      <c r="G386" s="1">
        <v>0.66200000000000003</v>
      </c>
      <c r="H386" s="1">
        <v>1895</v>
      </c>
      <c r="I386" s="1" t="str">
        <f t="shared" si="5"/>
        <v>SCMO</v>
      </c>
      <c r="J386">
        <v>1.62414E-2</v>
      </c>
      <c r="K386">
        <v>-8.2698561601E-3</v>
      </c>
      <c r="L386">
        <v>2.8980599999999999E-2</v>
      </c>
    </row>
    <row r="387" spans="3:12" x14ac:dyDescent="0.3">
      <c r="C387" s="1" t="s">
        <v>101</v>
      </c>
      <c r="D387" s="1">
        <v>11.3355999999999</v>
      </c>
      <c r="E387" s="1">
        <v>46.9102999999999</v>
      </c>
      <c r="F387" s="1">
        <v>1793.2164</v>
      </c>
      <c r="G387" s="1">
        <v>4.2999999999999997E-2</v>
      </c>
      <c r="H387" s="1">
        <v>1970</v>
      </c>
      <c r="I387" s="1" t="str">
        <f t="shared" ref="I387:I418" si="6">RIGHT(LEFT(C387,5),4)</f>
        <v>SCMO</v>
      </c>
      <c r="J387">
        <v>9.7248000000000005E-3</v>
      </c>
      <c r="K387">
        <v>2.1035021888679999E-3</v>
      </c>
      <c r="L387">
        <v>-0.1200251</v>
      </c>
    </row>
    <row r="388" spans="3:12" x14ac:dyDescent="0.3">
      <c r="C388" s="1" t="s">
        <v>101</v>
      </c>
      <c r="D388" s="1">
        <v>9.9322999999999997</v>
      </c>
      <c r="E388" s="1">
        <v>46.615900000000003</v>
      </c>
      <c r="F388" s="1">
        <v>2531.1504</v>
      </c>
      <c r="G388" s="1">
        <v>1.1100000000000001</v>
      </c>
      <c r="H388" s="1">
        <v>1835</v>
      </c>
      <c r="I388" s="1" t="str">
        <f t="shared" si="6"/>
        <v>SCMO</v>
      </c>
      <c r="J388">
        <v>1.02408E-2</v>
      </c>
      <c r="K388">
        <v>7.003439649781E-3</v>
      </c>
      <c r="L388">
        <v>-0.1449375</v>
      </c>
    </row>
    <row r="389" spans="3:12" x14ac:dyDescent="0.3">
      <c r="C389" s="1" t="s">
        <v>101</v>
      </c>
      <c r="D389" s="1">
        <v>11.3355999999999</v>
      </c>
      <c r="E389" s="1">
        <v>46.9102999999999</v>
      </c>
      <c r="F389" s="1">
        <v>1793.2164</v>
      </c>
      <c r="G389" s="1">
        <v>2.085</v>
      </c>
      <c r="H389" s="1">
        <v>1970</v>
      </c>
      <c r="I389" s="1" t="str">
        <f t="shared" si="6"/>
        <v>SCMO</v>
      </c>
      <c r="J389">
        <v>9.7248000000000005E-3</v>
      </c>
      <c r="K389">
        <v>2.1035021888679999E-3</v>
      </c>
      <c r="L389">
        <v>-0.1200251</v>
      </c>
    </row>
    <row r="390" spans="3:12" x14ac:dyDescent="0.3">
      <c r="C390" s="1" t="s">
        <v>101</v>
      </c>
      <c r="D390" s="1">
        <v>11.3355999999999</v>
      </c>
      <c r="E390" s="1">
        <v>46.9102999999999</v>
      </c>
      <c r="F390" s="1">
        <v>1793.2164</v>
      </c>
      <c r="G390" s="1">
        <v>2.7869999999999999</v>
      </c>
      <c r="H390" s="1">
        <v>1970</v>
      </c>
      <c r="I390" s="1" t="str">
        <f t="shared" si="6"/>
        <v>SCMO</v>
      </c>
      <c r="J390">
        <v>9.7248000000000005E-3</v>
      </c>
      <c r="K390">
        <v>2.1035021888679999E-3</v>
      </c>
      <c r="L390">
        <v>-0.1200251</v>
      </c>
    </row>
    <row r="391" spans="3:12" x14ac:dyDescent="0.3">
      <c r="C391" s="1" t="s">
        <v>102</v>
      </c>
      <c r="D391" s="1">
        <v>10.8605</v>
      </c>
      <c r="E391" s="1">
        <v>45.7196</v>
      </c>
      <c r="F391" s="1">
        <v>1367.8629000000001</v>
      </c>
      <c r="G391" s="1">
        <v>0.86199999999999999</v>
      </c>
      <c r="H391" s="1">
        <v>1989</v>
      </c>
      <c r="I391" s="1" t="str">
        <f t="shared" si="6"/>
        <v>SESE</v>
      </c>
      <c r="J391">
        <v>5.4095999999999997E-3</v>
      </c>
      <c r="K391">
        <v>-8.6163227016889995E-3</v>
      </c>
      <c r="L391">
        <v>-5.6400000000000002E-5</v>
      </c>
    </row>
    <row r="392" spans="3:12" x14ac:dyDescent="0.3">
      <c r="C392" s="1" t="s">
        <v>102</v>
      </c>
      <c r="D392" s="1">
        <v>7.9573</v>
      </c>
      <c r="E392" s="1">
        <v>60.697299999999899</v>
      </c>
      <c r="F392" s="1">
        <v>1156.1946</v>
      </c>
      <c r="G392" s="1">
        <v>-2.3330000000000002</v>
      </c>
      <c r="H392" s="1">
        <v>2001</v>
      </c>
      <c r="I392" s="1" t="str">
        <f t="shared" si="6"/>
        <v>SESE</v>
      </c>
      <c r="J392">
        <v>5.3502000000000003E-3</v>
      </c>
      <c r="K392">
        <v>4.5384615384620004E-3</v>
      </c>
      <c r="L392">
        <v>-0.11542529999999999</v>
      </c>
    </row>
    <row r="393" spans="3:12" x14ac:dyDescent="0.3">
      <c r="C393" s="1" t="s">
        <v>102</v>
      </c>
      <c r="D393" s="1">
        <v>11.3355999999999</v>
      </c>
      <c r="E393" s="1">
        <v>46.9102999999999</v>
      </c>
      <c r="F393" s="1">
        <v>1793.2164</v>
      </c>
      <c r="G393" s="1">
        <v>-1.5529999999999999</v>
      </c>
      <c r="H393" s="1">
        <v>1970</v>
      </c>
      <c r="I393" s="1" t="str">
        <f t="shared" si="6"/>
        <v>SESE</v>
      </c>
      <c r="J393">
        <v>9.7248000000000005E-3</v>
      </c>
      <c r="K393">
        <v>2.1035021888679999E-3</v>
      </c>
      <c r="L393">
        <v>-0.1200251</v>
      </c>
    </row>
    <row r="394" spans="3:12" x14ac:dyDescent="0.3">
      <c r="C394" s="1" t="s">
        <v>102</v>
      </c>
      <c r="D394" s="1">
        <v>11.3355999999999</v>
      </c>
      <c r="E394" s="1">
        <v>46.9102999999999</v>
      </c>
      <c r="F394" s="1">
        <v>1793.2164</v>
      </c>
      <c r="G394" s="1">
        <v>-0.34</v>
      </c>
      <c r="H394" s="1">
        <v>1970</v>
      </c>
      <c r="I394" s="1" t="str">
        <f t="shared" si="6"/>
        <v>SESE</v>
      </c>
      <c r="J394">
        <v>9.7248000000000005E-3</v>
      </c>
      <c r="K394">
        <v>2.1035021888679999E-3</v>
      </c>
      <c r="L394">
        <v>-0.1200251</v>
      </c>
    </row>
    <row r="395" spans="3:12" x14ac:dyDescent="0.3">
      <c r="C395" s="1" t="s">
        <v>102</v>
      </c>
      <c r="D395" s="1">
        <v>24.6996</v>
      </c>
      <c r="E395" s="1">
        <v>69.812799999999896</v>
      </c>
      <c r="F395" s="1">
        <v>412.95316000000003</v>
      </c>
      <c r="G395" s="1">
        <v>-0.25900000000000001</v>
      </c>
      <c r="H395" s="1">
        <v>1982</v>
      </c>
      <c r="I395" s="1" t="str">
        <f t="shared" si="6"/>
        <v>SESE</v>
      </c>
      <c r="J395">
        <v>2.7829999999999999E-3</v>
      </c>
      <c r="K395">
        <v>-5.2529706066289997E-3</v>
      </c>
      <c r="L395">
        <v>-4.50312E-2</v>
      </c>
    </row>
    <row r="396" spans="3:12" x14ac:dyDescent="0.3">
      <c r="C396" s="1" t="s">
        <v>102</v>
      </c>
      <c r="D396" s="1">
        <v>24.6996</v>
      </c>
      <c r="E396" s="1">
        <v>69.812799999999896</v>
      </c>
      <c r="F396" s="1">
        <v>412.95316000000003</v>
      </c>
      <c r="G396" s="1">
        <v>1.0740000000000001</v>
      </c>
      <c r="H396" s="1">
        <v>1982</v>
      </c>
      <c r="I396" s="1" t="str">
        <f t="shared" si="6"/>
        <v>SESE</v>
      </c>
      <c r="J396">
        <v>2.7829999999999999E-3</v>
      </c>
      <c r="K396">
        <v>-5.2529706066289997E-3</v>
      </c>
      <c r="L396">
        <v>-4.50312E-2</v>
      </c>
    </row>
    <row r="397" spans="3:12" x14ac:dyDescent="0.3">
      <c r="C397" s="1" t="s">
        <v>102</v>
      </c>
      <c r="D397" s="1">
        <v>11.3355999999999</v>
      </c>
      <c r="E397" s="1">
        <v>46.9102999999999</v>
      </c>
      <c r="F397" s="1">
        <v>1793.2164</v>
      </c>
      <c r="G397" s="1">
        <v>1.617</v>
      </c>
      <c r="H397" s="1">
        <v>1970</v>
      </c>
      <c r="I397" s="1" t="str">
        <f t="shared" si="6"/>
        <v>SESE</v>
      </c>
      <c r="J397">
        <v>9.7248000000000005E-3</v>
      </c>
      <c r="K397">
        <v>2.1035021888679999E-3</v>
      </c>
      <c r="L397">
        <v>-0.1200251</v>
      </c>
    </row>
    <row r="398" spans="3:12" x14ac:dyDescent="0.3">
      <c r="C398" s="1" t="s">
        <v>102</v>
      </c>
      <c r="D398" s="1">
        <v>-119.4324</v>
      </c>
      <c r="E398" s="1">
        <v>37.261499999999899</v>
      </c>
      <c r="F398" s="1">
        <v>1792.5378000000001</v>
      </c>
      <c r="G398" s="1">
        <v>-9.2940000000000005</v>
      </c>
      <c r="H398" s="1">
        <v>1895</v>
      </c>
      <c r="I398" s="1" t="str">
        <f t="shared" si="6"/>
        <v>SESE</v>
      </c>
      <c r="J398">
        <v>1.62414E-2</v>
      </c>
      <c r="K398">
        <v>-8.2698561601E-3</v>
      </c>
      <c r="L398">
        <v>2.8980599999999999E-2</v>
      </c>
    </row>
    <row r="399" spans="3:12" x14ac:dyDescent="0.3">
      <c r="C399" s="1" t="s">
        <v>102</v>
      </c>
      <c r="D399" s="1">
        <v>-119.4324</v>
      </c>
      <c r="E399" s="1">
        <v>37.261499999999899</v>
      </c>
      <c r="F399" s="1">
        <v>1792.5378000000001</v>
      </c>
      <c r="G399" s="1">
        <v>0.76200000000000001</v>
      </c>
      <c r="H399" s="1">
        <v>1895</v>
      </c>
      <c r="I399" s="1" t="str">
        <f t="shared" si="6"/>
        <v>SESE</v>
      </c>
      <c r="J399">
        <v>1.62414E-2</v>
      </c>
      <c r="K399">
        <v>-8.2698561601E-3</v>
      </c>
      <c r="L399">
        <v>2.8980599999999999E-2</v>
      </c>
    </row>
    <row r="400" spans="3:12" x14ac:dyDescent="0.3">
      <c r="C400" s="1" t="s">
        <v>103</v>
      </c>
      <c r="D400" s="1">
        <v>-119.4324</v>
      </c>
      <c r="E400" s="1">
        <v>37.261499999999899</v>
      </c>
      <c r="F400" s="1">
        <v>1792.5378000000001</v>
      </c>
      <c r="G400" s="1">
        <v>-6.3E-2</v>
      </c>
      <c r="H400" s="1">
        <v>1895</v>
      </c>
      <c r="I400" s="1" t="str">
        <f t="shared" si="6"/>
        <v>SEGI</v>
      </c>
      <c r="J400">
        <v>1.62414E-2</v>
      </c>
      <c r="K400">
        <v>-8.2698561601E-3</v>
      </c>
      <c r="L400">
        <v>2.8980599999999999E-2</v>
      </c>
    </row>
    <row r="401" spans="3:12" x14ac:dyDescent="0.3">
      <c r="C401" s="1" t="s">
        <v>104</v>
      </c>
      <c r="D401" s="1">
        <v>-119.4324</v>
      </c>
      <c r="E401" s="1">
        <v>37.261499999999899</v>
      </c>
      <c r="F401" s="1">
        <v>1792.5378000000001</v>
      </c>
      <c r="G401" s="1">
        <v>4.2569999999999997</v>
      </c>
      <c r="H401" s="1">
        <v>1895</v>
      </c>
      <c r="I401" s="1" t="str">
        <f t="shared" si="6"/>
        <v>TARA</v>
      </c>
      <c r="J401">
        <v>1.62414E-2</v>
      </c>
      <c r="K401">
        <v>-8.2698561601E-3</v>
      </c>
      <c r="L401">
        <v>2.8980599999999999E-2</v>
      </c>
    </row>
    <row r="402" spans="3:12" x14ac:dyDescent="0.3">
      <c r="C402" s="1" t="s">
        <v>105</v>
      </c>
      <c r="D402" s="1">
        <v>-71.156700000000001</v>
      </c>
      <c r="E402" s="1">
        <v>45.460099999999898</v>
      </c>
      <c r="F402" s="1">
        <v>901.67474000000004</v>
      </c>
      <c r="G402" s="1">
        <v>0.442</v>
      </c>
      <c r="H402" s="1">
        <v>1970</v>
      </c>
      <c r="I402" s="1" t="str">
        <f t="shared" si="6"/>
        <v>TICO</v>
      </c>
      <c r="J402">
        <v>6.8230000000000001E-3</v>
      </c>
      <c r="K402">
        <v>1.2881801125703999E-2</v>
      </c>
      <c r="L402">
        <v>0.35348039999999997</v>
      </c>
    </row>
    <row r="403" spans="3:12" x14ac:dyDescent="0.3">
      <c r="C403" s="1" t="s">
        <v>105</v>
      </c>
      <c r="D403" s="1">
        <v>7.0965499999999997</v>
      </c>
      <c r="E403" s="1">
        <v>43.006549999999997</v>
      </c>
      <c r="F403" s="1" t="s">
        <v>112</v>
      </c>
      <c r="G403" s="1">
        <v>-3.714</v>
      </c>
      <c r="H403" s="1">
        <v>1981</v>
      </c>
      <c r="I403" s="1" t="str">
        <f t="shared" si="6"/>
        <v>TICO</v>
      </c>
      <c r="J403" t="s">
        <v>112</v>
      </c>
      <c r="K403" t="s">
        <v>112</v>
      </c>
      <c r="L403" t="s">
        <v>112</v>
      </c>
    </row>
    <row r="404" spans="3:12" x14ac:dyDescent="0.3">
      <c r="C404" s="1" t="s">
        <v>105</v>
      </c>
      <c r="D404" s="1">
        <v>19.6858</v>
      </c>
      <c r="E404" s="1">
        <v>48.844700000000003</v>
      </c>
      <c r="F404" s="1">
        <v>701.47131000000002</v>
      </c>
      <c r="G404" s="1">
        <v>-1.377</v>
      </c>
      <c r="H404" s="1">
        <v>1966</v>
      </c>
      <c r="I404" s="1" t="str">
        <f t="shared" si="6"/>
        <v>TICO</v>
      </c>
      <c r="J404">
        <v>-1.7639100000000001E-2</v>
      </c>
      <c r="K404">
        <v>-3.2774233896185001E-2</v>
      </c>
      <c r="L404">
        <v>-0.5645559</v>
      </c>
    </row>
    <row r="405" spans="3:12" x14ac:dyDescent="0.3">
      <c r="C405" s="1" t="s">
        <v>105</v>
      </c>
      <c r="D405" s="1">
        <v>2.0886</v>
      </c>
      <c r="E405" s="1">
        <v>46.670499999999898</v>
      </c>
      <c r="F405" s="1">
        <v>264.83069</v>
      </c>
      <c r="G405" s="1">
        <v>-0.755</v>
      </c>
      <c r="H405" s="1">
        <v>1914</v>
      </c>
      <c r="I405" s="1" t="str">
        <f t="shared" si="6"/>
        <v>TICO</v>
      </c>
      <c r="J405">
        <v>1.49062E-2</v>
      </c>
      <c r="K405">
        <v>3.8769856160100001E-2</v>
      </c>
      <c r="L405">
        <v>-0.25414009999999998</v>
      </c>
    </row>
    <row r="406" spans="3:12" x14ac:dyDescent="0.3">
      <c r="C406" s="1" t="s">
        <v>105</v>
      </c>
      <c r="D406" s="1">
        <v>19.6858</v>
      </c>
      <c r="E406" s="1">
        <v>48.844700000000003</v>
      </c>
      <c r="F406" s="1">
        <v>701.47131000000002</v>
      </c>
      <c r="G406" s="1">
        <v>0.14799999999999999</v>
      </c>
      <c r="H406" s="1">
        <v>1966</v>
      </c>
      <c r="I406" s="1" t="str">
        <f t="shared" si="6"/>
        <v>TICO</v>
      </c>
      <c r="J406">
        <v>-1.7639100000000001E-2</v>
      </c>
      <c r="K406">
        <v>-3.2774233896185001E-2</v>
      </c>
      <c r="L406">
        <v>-0.5645559</v>
      </c>
    </row>
    <row r="407" spans="3:12" x14ac:dyDescent="0.3">
      <c r="C407" s="1" t="s">
        <v>105</v>
      </c>
      <c r="D407" s="1">
        <v>2.0886</v>
      </c>
      <c r="E407" s="1">
        <v>46.670499999999898</v>
      </c>
      <c r="F407" s="1">
        <v>264.83069</v>
      </c>
      <c r="G407" s="1">
        <v>0.751</v>
      </c>
      <c r="H407" s="1">
        <v>1914</v>
      </c>
      <c r="I407" s="1" t="str">
        <f t="shared" si="6"/>
        <v>TICO</v>
      </c>
      <c r="J407">
        <v>1.49062E-2</v>
      </c>
      <c r="K407">
        <v>3.8769856160100001E-2</v>
      </c>
      <c r="L407">
        <v>-0.25414009999999998</v>
      </c>
    </row>
    <row r="408" spans="3:12" x14ac:dyDescent="0.3">
      <c r="C408" s="1" t="s">
        <v>105</v>
      </c>
      <c r="D408" s="1">
        <v>10.8605</v>
      </c>
      <c r="E408" s="1">
        <v>45.7196</v>
      </c>
      <c r="F408" s="1">
        <v>1367.8629000000001</v>
      </c>
      <c r="G408" s="1">
        <v>3.4740000000000002</v>
      </c>
      <c r="H408" s="1">
        <v>1989</v>
      </c>
      <c r="I408" s="1" t="str">
        <f t="shared" si="6"/>
        <v>TICO</v>
      </c>
      <c r="J408">
        <v>5.4095999999999997E-3</v>
      </c>
      <c r="K408">
        <v>-8.6163227016889995E-3</v>
      </c>
      <c r="L408">
        <v>-5.6400000000000002E-5</v>
      </c>
    </row>
    <row r="409" spans="3:12" x14ac:dyDescent="0.3">
      <c r="C409" s="1" t="s">
        <v>105</v>
      </c>
      <c r="D409" s="1">
        <v>19.6858</v>
      </c>
      <c r="E409" s="1">
        <v>48.844700000000003</v>
      </c>
      <c r="F409" s="1">
        <v>701.47131000000002</v>
      </c>
      <c r="G409" s="1">
        <v>3.6230000000000002</v>
      </c>
      <c r="H409" s="1">
        <v>1966</v>
      </c>
      <c r="I409" s="1" t="str">
        <f t="shared" si="6"/>
        <v>TICO</v>
      </c>
      <c r="J409">
        <v>-1.7639100000000001E-2</v>
      </c>
      <c r="K409">
        <v>-3.2774233896185001E-2</v>
      </c>
      <c r="L409">
        <v>-0.5645559</v>
      </c>
    </row>
    <row r="410" spans="3:12" x14ac:dyDescent="0.3">
      <c r="C410" s="1" t="s">
        <v>105</v>
      </c>
      <c r="D410" s="1">
        <v>2.0886</v>
      </c>
      <c r="E410" s="1">
        <v>46.670499999999898</v>
      </c>
      <c r="F410" s="1">
        <v>264.83069</v>
      </c>
      <c r="G410" s="1">
        <v>3.734</v>
      </c>
      <c r="H410" s="1">
        <v>1914</v>
      </c>
      <c r="I410" s="1" t="str">
        <f t="shared" si="6"/>
        <v>TICO</v>
      </c>
      <c r="J410">
        <v>1.49062E-2</v>
      </c>
      <c r="K410">
        <v>3.8769856160100001E-2</v>
      </c>
      <c r="L410">
        <v>-0.25414009999999998</v>
      </c>
    </row>
    <row r="411" spans="3:12" x14ac:dyDescent="0.3">
      <c r="C411" s="1" t="s">
        <v>106</v>
      </c>
      <c r="D411" s="1">
        <v>2.0886</v>
      </c>
      <c r="E411" s="1">
        <v>46.670499999999898</v>
      </c>
      <c r="F411" s="1">
        <v>264.83069</v>
      </c>
      <c r="G411" s="1">
        <v>0.24099999999999999</v>
      </c>
      <c r="H411" s="1">
        <v>1914</v>
      </c>
      <c r="I411" s="1" t="str">
        <f t="shared" si="6"/>
        <v>TIPL</v>
      </c>
      <c r="J411">
        <v>1.49062E-2</v>
      </c>
      <c r="K411">
        <v>3.8769856160100001E-2</v>
      </c>
      <c r="L411">
        <v>-0.25414009999999998</v>
      </c>
    </row>
    <row r="412" spans="3:12" x14ac:dyDescent="0.3">
      <c r="C412" s="1" t="s">
        <v>106</v>
      </c>
      <c r="D412" s="1">
        <v>5.3539166666666702</v>
      </c>
      <c r="E412" s="1">
        <v>45.007733333333299</v>
      </c>
      <c r="F412" s="1">
        <v>761.62267999999995</v>
      </c>
      <c r="G412" s="1">
        <v>0.93200000000000005</v>
      </c>
      <c r="H412" s="1">
        <v>1905</v>
      </c>
      <c r="I412" s="1" t="str">
        <f t="shared" si="6"/>
        <v>TIPL</v>
      </c>
      <c r="J412">
        <v>1.3298900000000001E-2</v>
      </c>
      <c r="K412">
        <v>-1.2570981863665001E-2</v>
      </c>
      <c r="L412">
        <v>-0.61279859999999997</v>
      </c>
    </row>
    <row r="413" spans="3:12" x14ac:dyDescent="0.3">
      <c r="C413" s="1" t="s">
        <v>106</v>
      </c>
      <c r="D413" s="1">
        <v>2.0886</v>
      </c>
      <c r="E413" s="1">
        <v>46.670499999999898</v>
      </c>
      <c r="F413" s="1">
        <v>264.83069</v>
      </c>
      <c r="G413" s="1">
        <v>0.96699999999999997</v>
      </c>
      <c r="H413" s="1">
        <v>1914</v>
      </c>
      <c r="I413" s="1" t="str">
        <f t="shared" si="6"/>
        <v>TIPL</v>
      </c>
      <c r="J413">
        <v>1.49062E-2</v>
      </c>
      <c r="K413">
        <v>3.8769856160100001E-2</v>
      </c>
      <c r="L413">
        <v>-0.25414009999999998</v>
      </c>
    </row>
    <row r="414" spans="3:12" x14ac:dyDescent="0.3">
      <c r="C414" s="1" t="s">
        <v>106</v>
      </c>
      <c r="D414" s="1">
        <v>2.0886</v>
      </c>
      <c r="E414" s="1">
        <v>46.670499999999898</v>
      </c>
      <c r="F414" s="1">
        <v>264.83069</v>
      </c>
      <c r="G414" s="1">
        <v>2.1030000000000002</v>
      </c>
      <c r="H414" s="1">
        <v>1914</v>
      </c>
      <c r="I414" s="1" t="str">
        <f t="shared" si="6"/>
        <v>TIPL</v>
      </c>
      <c r="J414">
        <v>1.49062E-2</v>
      </c>
      <c r="K414">
        <v>3.8769856160100001E-2</v>
      </c>
      <c r="L414">
        <v>-0.25414009999999998</v>
      </c>
    </row>
    <row r="415" spans="3:12" x14ac:dyDescent="0.3">
      <c r="C415" s="1" t="s">
        <v>106</v>
      </c>
      <c r="D415" s="1">
        <v>10.8605</v>
      </c>
      <c r="E415" s="1">
        <v>45.7196</v>
      </c>
      <c r="F415" s="1">
        <v>1367.8629000000001</v>
      </c>
      <c r="G415" s="1">
        <v>21.326000000000001</v>
      </c>
      <c r="H415" s="1">
        <v>1989</v>
      </c>
      <c r="I415" s="1" t="str">
        <f t="shared" si="6"/>
        <v>TIPL</v>
      </c>
      <c r="J415">
        <v>5.4095999999999997E-3</v>
      </c>
      <c r="K415">
        <v>-8.6163227016889995E-3</v>
      </c>
      <c r="L415">
        <v>-5.6400000000000002E-5</v>
      </c>
    </row>
    <row r="416" spans="3:12" x14ac:dyDescent="0.3">
      <c r="C416" s="1" t="s">
        <v>106</v>
      </c>
      <c r="D416" s="1">
        <v>7.0965499999999997</v>
      </c>
      <c r="E416" s="1">
        <v>43.006549999999997</v>
      </c>
      <c r="F416" s="1" t="s">
        <v>112</v>
      </c>
      <c r="G416" s="1">
        <v>29.643000000000001</v>
      </c>
      <c r="H416" s="1">
        <v>1981</v>
      </c>
      <c r="I416" s="1" t="str">
        <f t="shared" si="6"/>
        <v>TIPL</v>
      </c>
      <c r="J416" t="s">
        <v>112</v>
      </c>
      <c r="K416" t="s">
        <v>112</v>
      </c>
      <c r="L416" t="s">
        <v>112</v>
      </c>
    </row>
    <row r="417" spans="3:12" x14ac:dyDescent="0.3">
      <c r="C417" s="1" t="s">
        <v>106</v>
      </c>
      <c r="D417" s="1">
        <v>-119.4324</v>
      </c>
      <c r="E417" s="1">
        <v>37.261499999999899</v>
      </c>
      <c r="F417" s="1">
        <v>1792.5378000000001</v>
      </c>
      <c r="G417" s="1">
        <v>0.78800000000000003</v>
      </c>
      <c r="H417" s="1">
        <v>1895</v>
      </c>
      <c r="I417" s="1" t="str">
        <f t="shared" si="6"/>
        <v>TIPL</v>
      </c>
      <c r="J417">
        <v>1.62414E-2</v>
      </c>
      <c r="K417">
        <v>-8.2698561601E-3</v>
      </c>
      <c r="L417">
        <v>2.8980599999999999E-2</v>
      </c>
    </row>
    <row r="418" spans="3:12" x14ac:dyDescent="0.3">
      <c r="C418" s="1" t="s">
        <v>107</v>
      </c>
      <c r="D418" s="1">
        <v>-119.4324</v>
      </c>
      <c r="E418" s="1">
        <v>37.261499999999899</v>
      </c>
      <c r="F418" s="1">
        <v>1792.5378000000001</v>
      </c>
      <c r="G418" s="1">
        <v>-3.3660000000000001</v>
      </c>
      <c r="H418" s="1">
        <v>1895</v>
      </c>
      <c r="I418" s="1" t="str">
        <f t="shared" si="6"/>
        <v>TSHE</v>
      </c>
      <c r="J418">
        <v>1.62414E-2</v>
      </c>
      <c r="K418">
        <v>-8.2698561601E-3</v>
      </c>
      <c r="L418">
        <v>2.8980599999999999E-2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L419"/>
  <sheetViews>
    <sheetView tabSelected="1" workbookViewId="0">
      <selection activeCell="D9" sqref="D9"/>
    </sheetView>
  </sheetViews>
  <sheetFormatPr defaultColWidth="9" defaultRowHeight="13.5" x14ac:dyDescent="0.3"/>
  <sheetData>
    <row r="2" spans="3:12" x14ac:dyDescent="0.3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111</v>
      </c>
      <c r="J2" s="1" t="s">
        <v>108</v>
      </c>
      <c r="K2" s="1" t="s">
        <v>109</v>
      </c>
      <c r="L2" s="1" t="s">
        <v>110</v>
      </c>
    </row>
    <row r="3" spans="3:12" x14ac:dyDescent="0.3">
      <c r="C3" s="1" t="s">
        <v>6</v>
      </c>
      <c r="D3" s="1">
        <v>2.0886</v>
      </c>
      <c r="E3" s="1">
        <v>46.670499999999898</v>
      </c>
      <c r="F3" s="1">
        <v>264.83069</v>
      </c>
      <c r="G3" s="1">
        <v>-1.7310000000000001</v>
      </c>
      <c r="H3" s="1">
        <v>1914</v>
      </c>
      <c r="I3" s="1" t="str">
        <f>RIGHT(LEFT(C3,5),4)</f>
        <v>ABAL</v>
      </c>
      <c r="J3">
        <v>1.49062E-2</v>
      </c>
      <c r="K3">
        <v>3.8769856160100001E-2</v>
      </c>
      <c r="L3">
        <v>-0.25414009999999998</v>
      </c>
    </row>
    <row r="4" spans="3:12" x14ac:dyDescent="0.3">
      <c r="C4" s="1" t="s">
        <v>6</v>
      </c>
      <c r="D4" s="1">
        <v>2.0886</v>
      </c>
      <c r="E4" s="1">
        <v>46.670499999999898</v>
      </c>
      <c r="F4" s="1">
        <v>264.83069</v>
      </c>
      <c r="G4" s="1">
        <v>-1.448</v>
      </c>
      <c r="H4" s="1">
        <v>1914</v>
      </c>
      <c r="I4" s="1" t="str">
        <f t="shared" ref="I4:I67" si="0">RIGHT(LEFT(C4,5),4)</f>
        <v>ABAL</v>
      </c>
      <c r="J4">
        <v>1.49062E-2</v>
      </c>
      <c r="K4">
        <v>3.8769856160100001E-2</v>
      </c>
      <c r="L4">
        <v>-0.25414009999999998</v>
      </c>
    </row>
    <row r="5" spans="3:12" x14ac:dyDescent="0.3">
      <c r="C5" s="1" t="s">
        <v>6</v>
      </c>
      <c r="D5" s="1">
        <v>7.0965499999999997</v>
      </c>
      <c r="E5" s="1">
        <v>43.006549999999997</v>
      </c>
      <c r="F5" s="1" t="s">
        <v>112</v>
      </c>
      <c r="G5" s="1">
        <v>-0.78600000000000003</v>
      </c>
      <c r="H5" s="1">
        <v>1981</v>
      </c>
      <c r="I5" s="1" t="str">
        <f t="shared" si="0"/>
        <v>ABAL</v>
      </c>
      <c r="J5" t="s">
        <v>112</v>
      </c>
      <c r="K5" t="s">
        <v>112</v>
      </c>
      <c r="L5" t="s">
        <v>112</v>
      </c>
    </row>
    <row r="6" spans="3:12" x14ac:dyDescent="0.3">
      <c r="C6" s="1" t="s">
        <v>6</v>
      </c>
      <c r="D6" s="1">
        <v>2.0886</v>
      </c>
      <c r="E6" s="1">
        <v>46.670499999999898</v>
      </c>
      <c r="F6" s="1">
        <v>264.83069</v>
      </c>
      <c r="G6" s="1">
        <v>-0.61399999999999999</v>
      </c>
      <c r="H6" s="1">
        <v>1914</v>
      </c>
      <c r="I6" s="1" t="str">
        <f t="shared" si="0"/>
        <v>ABAL</v>
      </c>
      <c r="J6">
        <v>1.49062E-2</v>
      </c>
      <c r="K6">
        <v>3.8769856160100001E-2</v>
      </c>
      <c r="L6">
        <v>-0.25414009999999998</v>
      </c>
    </row>
    <row r="7" spans="3:12" x14ac:dyDescent="0.3">
      <c r="C7" s="1" t="s">
        <v>6</v>
      </c>
      <c r="D7" s="1">
        <v>13.4633</v>
      </c>
      <c r="E7" s="1">
        <v>48.921500000000002</v>
      </c>
      <c r="F7" s="1">
        <v>869.87121999999999</v>
      </c>
      <c r="G7" s="1">
        <v>-0.45</v>
      </c>
      <c r="H7" s="1">
        <v>1902</v>
      </c>
      <c r="I7" s="1" t="str">
        <f t="shared" si="0"/>
        <v>ABAL</v>
      </c>
      <c r="J7">
        <v>2.1232E-3</v>
      </c>
      <c r="K7">
        <v>-5.7588805503439998E-2</v>
      </c>
      <c r="L7">
        <v>-0.5666291</v>
      </c>
    </row>
    <row r="8" spans="3:12" x14ac:dyDescent="0.3">
      <c r="C8" s="1" t="s">
        <v>6</v>
      </c>
      <c r="D8" s="1">
        <v>19.6858</v>
      </c>
      <c r="E8" s="1">
        <v>48.844700000000003</v>
      </c>
      <c r="F8" s="1">
        <v>701.47131000000002</v>
      </c>
      <c r="G8" s="1">
        <v>0</v>
      </c>
      <c r="H8" s="1">
        <v>1966</v>
      </c>
      <c r="I8" s="1" t="str">
        <f t="shared" si="0"/>
        <v>ABAL</v>
      </c>
      <c r="J8">
        <v>-1.7639100000000001E-2</v>
      </c>
      <c r="K8">
        <v>-3.2774233896185001E-2</v>
      </c>
      <c r="L8">
        <v>-0.5645559</v>
      </c>
    </row>
    <row r="9" spans="3:12" x14ac:dyDescent="0.3">
      <c r="C9" s="1" t="s">
        <v>6</v>
      </c>
      <c r="D9" s="1">
        <v>19.6858</v>
      </c>
      <c r="E9" s="1">
        <v>48.844700000000003</v>
      </c>
      <c r="F9" s="1">
        <v>701.47131000000002</v>
      </c>
      <c r="G9" s="1">
        <v>0.51900000000000002</v>
      </c>
      <c r="H9" s="1">
        <v>1966</v>
      </c>
      <c r="I9" s="1" t="str">
        <f t="shared" si="0"/>
        <v>ABAL</v>
      </c>
      <c r="J9">
        <v>-1.7639100000000001E-2</v>
      </c>
      <c r="K9">
        <v>-3.2774233896185001E-2</v>
      </c>
      <c r="L9">
        <v>-0.5645559</v>
      </c>
    </row>
    <row r="10" spans="3:12" x14ac:dyDescent="0.3">
      <c r="C10" s="1" t="s">
        <v>6</v>
      </c>
      <c r="D10" s="1">
        <v>19.6858</v>
      </c>
      <c r="E10" s="1">
        <v>48.844700000000003</v>
      </c>
      <c r="F10" s="1">
        <v>701.47131000000002</v>
      </c>
      <c r="G10" s="1">
        <v>0.65200000000000002</v>
      </c>
      <c r="H10" s="1">
        <v>1966</v>
      </c>
      <c r="I10" s="1" t="str">
        <f t="shared" si="0"/>
        <v>ABAL</v>
      </c>
      <c r="J10">
        <v>-1.7639100000000001E-2</v>
      </c>
      <c r="K10">
        <v>-3.2774233896185001E-2</v>
      </c>
      <c r="L10">
        <v>-0.5645559</v>
      </c>
    </row>
    <row r="11" spans="3:12" x14ac:dyDescent="0.3">
      <c r="C11" s="1" t="s">
        <v>6</v>
      </c>
      <c r="D11" s="1">
        <v>5.3539166666666702</v>
      </c>
      <c r="E11" s="1">
        <v>45.007733333333299</v>
      </c>
      <c r="F11" s="1">
        <v>761.62267999999995</v>
      </c>
      <c r="G11" s="1">
        <v>4.1550000000000002</v>
      </c>
      <c r="H11" s="1">
        <v>1905</v>
      </c>
      <c r="I11" s="1" t="str">
        <f t="shared" si="0"/>
        <v>ABAL</v>
      </c>
      <c r="J11">
        <v>1.3298900000000001E-2</v>
      </c>
      <c r="K11">
        <v>-1.2570981863665001E-2</v>
      </c>
      <c r="L11">
        <v>-0.61279859999999997</v>
      </c>
    </row>
    <row r="12" spans="3:12" x14ac:dyDescent="0.3">
      <c r="C12" s="1" t="s">
        <v>6</v>
      </c>
      <c r="D12" s="1">
        <v>10.8605</v>
      </c>
      <c r="E12" s="1">
        <v>45.7196</v>
      </c>
      <c r="F12" s="1">
        <v>1367.8629000000001</v>
      </c>
      <c r="G12" s="1">
        <v>8.9139999999999997</v>
      </c>
      <c r="H12" s="1">
        <v>1989</v>
      </c>
      <c r="I12" s="1" t="str">
        <f t="shared" si="0"/>
        <v>ABAL</v>
      </c>
      <c r="J12">
        <v>5.4095999999999997E-3</v>
      </c>
      <c r="K12">
        <v>-8.6163227016889995E-3</v>
      </c>
      <c r="L12">
        <v>-5.6400000000000002E-5</v>
      </c>
    </row>
    <row r="13" spans="3:12" x14ac:dyDescent="0.3">
      <c r="C13" s="1" t="s">
        <v>7</v>
      </c>
      <c r="D13" s="1">
        <v>-71.156700000000001</v>
      </c>
      <c r="E13" s="1">
        <v>45.460099999999898</v>
      </c>
      <c r="F13" s="1">
        <v>901.67474000000004</v>
      </c>
      <c r="G13" s="1">
        <v>0.25600000000000001</v>
      </c>
      <c r="H13" s="1">
        <v>1970</v>
      </c>
      <c r="I13" s="1" t="str">
        <f t="shared" si="0"/>
        <v>ABBA</v>
      </c>
      <c r="J13">
        <v>6.8230000000000001E-3</v>
      </c>
      <c r="K13">
        <v>1.2881801125703999E-2</v>
      </c>
      <c r="L13">
        <v>0.35348039999999997</v>
      </c>
    </row>
    <row r="14" spans="3:12" x14ac:dyDescent="0.3">
      <c r="C14" s="1" t="s">
        <v>8</v>
      </c>
      <c r="D14" s="1">
        <v>-121.3335</v>
      </c>
      <c r="E14" s="1">
        <v>38.500700000000002</v>
      </c>
      <c r="F14" s="1">
        <v>17.796066</v>
      </c>
      <c r="G14" s="1">
        <v>-0.35399999999999998</v>
      </c>
      <c r="H14" s="1">
        <v>1930</v>
      </c>
      <c r="I14" s="1" t="str">
        <f t="shared" si="0"/>
        <v>ABCO</v>
      </c>
      <c r="J14">
        <v>7.2951999999999999E-3</v>
      </c>
      <c r="K14">
        <v>4.4734208880549998E-3</v>
      </c>
      <c r="L14">
        <v>3.0206E-3</v>
      </c>
    </row>
    <row r="15" spans="3:12" x14ac:dyDescent="0.3">
      <c r="C15" s="1" t="s">
        <v>8</v>
      </c>
      <c r="D15" s="1">
        <v>-120.3503</v>
      </c>
      <c r="E15" s="1">
        <v>39.061799999999899</v>
      </c>
      <c r="F15" s="1">
        <v>1967.6869999999999</v>
      </c>
      <c r="G15" s="1">
        <v>0</v>
      </c>
      <c r="H15" s="1">
        <v>1934</v>
      </c>
      <c r="I15" s="1" t="str">
        <f t="shared" si="0"/>
        <v>ABCO</v>
      </c>
      <c r="J15">
        <v>1.9990600000000001E-2</v>
      </c>
      <c r="K15">
        <v>-3.4824577861162997E-2</v>
      </c>
      <c r="L15">
        <v>5.3423999999999999E-2</v>
      </c>
    </row>
    <row r="16" spans="3:12" x14ac:dyDescent="0.3">
      <c r="C16" s="1" t="s">
        <v>8</v>
      </c>
      <c r="D16" s="1">
        <v>-119.4324</v>
      </c>
      <c r="E16" s="1">
        <v>37.261499999999899</v>
      </c>
      <c r="F16" s="1">
        <v>1792.5378000000001</v>
      </c>
      <c r="G16" s="1">
        <v>1.4430000000000001</v>
      </c>
      <c r="H16" s="1">
        <v>1895</v>
      </c>
      <c r="I16" s="1" t="str">
        <f t="shared" si="0"/>
        <v>ABCO</v>
      </c>
      <c r="J16">
        <v>1.62414E-2</v>
      </c>
      <c r="K16">
        <v>-8.2698561601E-3</v>
      </c>
      <c r="L16">
        <v>2.8980599999999999E-2</v>
      </c>
    </row>
    <row r="17" spans="3:12" x14ac:dyDescent="0.3">
      <c r="C17" s="1" t="s">
        <v>8</v>
      </c>
      <c r="D17" s="1">
        <v>-116.7925</v>
      </c>
      <c r="E17" s="1">
        <v>33.768999999999899</v>
      </c>
      <c r="F17" s="1">
        <v>1513.3244999999999</v>
      </c>
      <c r="G17" s="1">
        <v>3.1480000000000001</v>
      </c>
      <c r="H17" s="1">
        <v>1977</v>
      </c>
      <c r="I17" s="1" t="str">
        <f t="shared" si="0"/>
        <v>ABCO</v>
      </c>
      <c r="J17">
        <v>2.6838600000000001E-2</v>
      </c>
      <c r="K17">
        <v>-6.1100687929999998E-4</v>
      </c>
      <c r="L17">
        <v>0.13134770000000001</v>
      </c>
    </row>
    <row r="18" spans="3:12" x14ac:dyDescent="0.3">
      <c r="C18" s="1" t="s">
        <v>9</v>
      </c>
      <c r="D18" s="1">
        <v>-119.4324</v>
      </c>
      <c r="E18" s="1">
        <v>37.261499999999899</v>
      </c>
      <c r="F18" s="1">
        <v>1792.5378000000001</v>
      </c>
      <c r="G18" s="1">
        <v>-1.4350000000000001</v>
      </c>
      <c r="H18" s="1">
        <v>1895</v>
      </c>
      <c r="I18" s="1" t="str">
        <f t="shared" si="0"/>
        <v>ABGR</v>
      </c>
      <c r="J18">
        <v>1.62414E-2</v>
      </c>
      <c r="K18">
        <v>-8.2698561601E-3</v>
      </c>
      <c r="L18">
        <v>2.8980599999999999E-2</v>
      </c>
    </row>
    <row r="19" spans="3:12" x14ac:dyDescent="0.3">
      <c r="C19" s="1" t="s">
        <v>10</v>
      </c>
      <c r="D19" s="1">
        <v>-119.4324</v>
      </c>
      <c r="E19" s="1">
        <v>37.261499999999899</v>
      </c>
      <c r="F19" s="1">
        <v>1792.5378000000001</v>
      </c>
      <c r="G19" s="1">
        <v>-3.4039999999999999</v>
      </c>
      <c r="H19" s="1">
        <v>1895</v>
      </c>
      <c r="I19" s="1" t="str">
        <f t="shared" si="0"/>
        <v>ACDE</v>
      </c>
      <c r="J19">
        <v>1.62414E-2</v>
      </c>
      <c r="K19">
        <v>-8.2698561601E-3</v>
      </c>
      <c r="L19">
        <v>2.8980599999999999E-2</v>
      </c>
    </row>
    <row r="20" spans="3:12" x14ac:dyDescent="0.3">
      <c r="C20" s="1" t="s">
        <v>11</v>
      </c>
      <c r="D20" s="1">
        <v>-119.4324</v>
      </c>
      <c r="E20" s="1">
        <v>37.261499999999899</v>
      </c>
      <c r="F20" s="1">
        <v>1792.5378000000001</v>
      </c>
      <c r="G20" s="1">
        <v>0.73499999999999999</v>
      </c>
      <c r="H20" s="1">
        <v>1895</v>
      </c>
      <c r="I20" s="1" t="str">
        <f t="shared" si="0"/>
        <v>ACCA</v>
      </c>
      <c r="J20">
        <v>1.62414E-2</v>
      </c>
      <c r="K20">
        <v>-8.2698561601E-3</v>
      </c>
      <c r="L20">
        <v>2.8980599999999999E-2</v>
      </c>
    </row>
    <row r="21" spans="3:12" x14ac:dyDescent="0.3">
      <c r="C21" s="1" t="s">
        <v>12</v>
      </c>
      <c r="D21" s="1">
        <v>85.479100000000003</v>
      </c>
      <c r="E21" s="1">
        <v>28.114000000000001</v>
      </c>
      <c r="F21" s="1">
        <v>4879.3306000000002</v>
      </c>
      <c r="G21" s="1">
        <v>-1.3740000000000001</v>
      </c>
      <c r="H21" s="1">
        <v>1986</v>
      </c>
      <c r="I21" s="1" t="str">
        <f t="shared" si="0"/>
        <v>ACNE</v>
      </c>
      <c r="J21">
        <v>-4.8436E-3</v>
      </c>
      <c r="K21">
        <v>8.4101313320826002E-2</v>
      </c>
      <c r="L21">
        <v>-0.53646360000000004</v>
      </c>
    </row>
    <row r="22" spans="3:12" x14ac:dyDescent="0.3">
      <c r="C22" s="1" t="s">
        <v>12</v>
      </c>
      <c r="D22" s="1">
        <v>88.524900000000002</v>
      </c>
      <c r="E22" s="1">
        <v>27.904599999999899</v>
      </c>
      <c r="F22" s="1">
        <v>4072.03</v>
      </c>
      <c r="G22" s="1">
        <v>4.8150000000000004</v>
      </c>
      <c r="H22" s="1">
        <v>1849</v>
      </c>
      <c r="I22" s="1" t="str">
        <f t="shared" si="0"/>
        <v>ACNE</v>
      </c>
      <c r="J22">
        <v>5.3346000000000001E-3</v>
      </c>
      <c r="K22">
        <v>3.1974358974358998E-2</v>
      </c>
      <c r="L22">
        <v>-0.55690430000000002</v>
      </c>
    </row>
    <row r="23" spans="3:12" x14ac:dyDescent="0.3">
      <c r="C23" s="1" t="s">
        <v>12</v>
      </c>
      <c r="D23" s="1">
        <v>88.524900000000002</v>
      </c>
      <c r="E23" s="1">
        <v>27.904599999999899</v>
      </c>
      <c r="F23" s="1">
        <v>4072.03</v>
      </c>
      <c r="G23" s="1">
        <v>4.915</v>
      </c>
      <c r="H23" s="1">
        <v>1849</v>
      </c>
      <c r="I23" s="1" t="str">
        <f t="shared" si="0"/>
        <v>ACNE</v>
      </c>
      <c r="J23">
        <v>5.3346000000000001E-3</v>
      </c>
      <c r="K23">
        <v>3.1974358974358998E-2</v>
      </c>
      <c r="L23">
        <v>-0.55690430000000002</v>
      </c>
    </row>
    <row r="24" spans="3:12" x14ac:dyDescent="0.3">
      <c r="C24" s="1" t="s">
        <v>12</v>
      </c>
      <c r="D24" s="1">
        <v>88.524900000000002</v>
      </c>
      <c r="E24" s="1">
        <v>27.904599999999899</v>
      </c>
      <c r="F24" s="1">
        <v>4072.03</v>
      </c>
      <c r="G24" s="1">
        <v>5.0149999999999997</v>
      </c>
      <c r="H24" s="1">
        <v>1849</v>
      </c>
      <c r="I24" s="1" t="str">
        <f t="shared" si="0"/>
        <v>ACNE</v>
      </c>
      <c r="J24">
        <v>5.3346000000000001E-3</v>
      </c>
      <c r="K24">
        <v>3.1974358974358998E-2</v>
      </c>
      <c r="L24">
        <v>-0.55690430000000002</v>
      </c>
    </row>
    <row r="25" spans="3:12" x14ac:dyDescent="0.3">
      <c r="C25" s="1" t="s">
        <v>11</v>
      </c>
      <c r="D25" s="1">
        <v>2.0886</v>
      </c>
      <c r="E25" s="1">
        <v>46.670499999999898</v>
      </c>
      <c r="F25" s="1">
        <v>264.83069</v>
      </c>
      <c r="G25" s="1">
        <v>0.317</v>
      </c>
      <c r="H25" s="1">
        <v>1914</v>
      </c>
      <c r="I25" s="1" t="str">
        <f t="shared" si="0"/>
        <v>ACCA</v>
      </c>
      <c r="J25">
        <v>1.49062E-2</v>
      </c>
      <c r="K25">
        <v>3.8769856160100001E-2</v>
      </c>
      <c r="L25">
        <v>-0.25414009999999998</v>
      </c>
    </row>
    <row r="26" spans="3:12" x14ac:dyDescent="0.3">
      <c r="C26" s="1" t="s">
        <v>11</v>
      </c>
      <c r="D26" s="1">
        <v>5.3539166666666702</v>
      </c>
      <c r="E26" s="1">
        <v>45.007733333333299</v>
      </c>
      <c r="F26" s="1">
        <v>761.62267999999995</v>
      </c>
      <c r="G26" s="1">
        <v>0.35</v>
      </c>
      <c r="H26" s="1">
        <v>1905</v>
      </c>
      <c r="I26" s="1" t="str">
        <f t="shared" si="0"/>
        <v>ACCA</v>
      </c>
      <c r="J26">
        <v>1.3298900000000001E-2</v>
      </c>
      <c r="K26">
        <v>-1.2570981863665001E-2</v>
      </c>
      <c r="L26">
        <v>-0.61279859999999997</v>
      </c>
    </row>
    <row r="27" spans="3:12" x14ac:dyDescent="0.3">
      <c r="C27" s="1" t="s">
        <v>11</v>
      </c>
      <c r="D27" s="1">
        <v>2.0886</v>
      </c>
      <c r="E27" s="1">
        <v>46.670499999999898</v>
      </c>
      <c r="F27" s="1">
        <v>264.83069</v>
      </c>
      <c r="G27" s="1">
        <v>0.55200000000000005</v>
      </c>
      <c r="H27" s="1">
        <v>1914</v>
      </c>
      <c r="I27" s="1" t="str">
        <f t="shared" si="0"/>
        <v>ACCA</v>
      </c>
      <c r="J27">
        <v>1.49062E-2</v>
      </c>
      <c r="K27">
        <v>3.8769856160100001E-2</v>
      </c>
      <c r="L27">
        <v>-0.25414009999999998</v>
      </c>
    </row>
    <row r="28" spans="3:12" x14ac:dyDescent="0.3">
      <c r="C28" s="1" t="s">
        <v>11</v>
      </c>
      <c r="D28" s="1">
        <v>10.8605</v>
      </c>
      <c r="E28" s="1">
        <v>45.7196</v>
      </c>
      <c r="F28" s="1">
        <v>1367.8629000000001</v>
      </c>
      <c r="G28" s="1">
        <v>0.76500000000000001</v>
      </c>
      <c r="H28" s="1">
        <v>1989</v>
      </c>
      <c r="I28" s="1" t="str">
        <f t="shared" si="0"/>
        <v>ACCA</v>
      </c>
      <c r="J28">
        <v>5.4095999999999997E-3</v>
      </c>
      <c r="K28">
        <v>-8.6163227016889995E-3</v>
      </c>
      <c r="L28">
        <v>-5.6400000000000002E-5</v>
      </c>
    </row>
    <row r="29" spans="3:12" x14ac:dyDescent="0.3">
      <c r="C29" s="1" t="s">
        <v>11</v>
      </c>
      <c r="D29" s="1">
        <v>2.0886</v>
      </c>
      <c r="E29" s="1">
        <v>46.670499999999898</v>
      </c>
      <c r="F29" s="1">
        <v>264.83069</v>
      </c>
      <c r="G29" s="1">
        <v>0.94199999999999995</v>
      </c>
      <c r="H29" s="1">
        <v>1914</v>
      </c>
      <c r="I29" s="1" t="str">
        <f t="shared" si="0"/>
        <v>ACCA</v>
      </c>
      <c r="J29">
        <v>1.49062E-2</v>
      </c>
      <c r="K29">
        <v>3.8769856160100001E-2</v>
      </c>
      <c r="L29">
        <v>-0.25414009999999998</v>
      </c>
    </row>
    <row r="30" spans="3:12" x14ac:dyDescent="0.3">
      <c r="C30" s="1" t="s">
        <v>11</v>
      </c>
      <c r="D30" s="1">
        <v>7.0965499999999997</v>
      </c>
      <c r="E30" s="1">
        <v>43.006549999999997</v>
      </c>
      <c r="F30" s="1" t="s">
        <v>112</v>
      </c>
      <c r="G30" s="1">
        <v>7.7859999999999996</v>
      </c>
      <c r="H30" s="1">
        <v>1981</v>
      </c>
      <c r="I30" s="1" t="str">
        <f t="shared" si="0"/>
        <v>ACCA</v>
      </c>
      <c r="J30" t="s">
        <v>112</v>
      </c>
      <c r="K30" t="s">
        <v>112</v>
      </c>
      <c r="L30" t="s">
        <v>112</v>
      </c>
    </row>
    <row r="31" spans="3:12" x14ac:dyDescent="0.3">
      <c r="C31" s="1" t="s">
        <v>13</v>
      </c>
      <c r="D31" s="1">
        <v>-119.4324</v>
      </c>
      <c r="E31" s="1">
        <v>37.261499999999899</v>
      </c>
      <c r="F31" s="1">
        <v>1792.5378000000001</v>
      </c>
      <c r="G31" s="1">
        <v>-2.9060000000000001</v>
      </c>
      <c r="H31" s="1">
        <v>1895</v>
      </c>
      <c r="I31" s="1" t="str">
        <f t="shared" si="0"/>
        <v>ACGL</v>
      </c>
      <c r="J31">
        <v>1.62414E-2</v>
      </c>
      <c r="K31">
        <v>-8.2698561601E-3</v>
      </c>
      <c r="L31">
        <v>2.8980599999999999E-2</v>
      </c>
    </row>
    <row r="32" spans="3:12" x14ac:dyDescent="0.3">
      <c r="C32" s="1" t="s">
        <v>13</v>
      </c>
      <c r="D32" s="1">
        <v>-119.4324</v>
      </c>
      <c r="E32" s="1">
        <v>37.261499999999899</v>
      </c>
      <c r="F32" s="1">
        <v>1792.5378000000001</v>
      </c>
      <c r="G32" s="1">
        <v>-2.5459999999999998</v>
      </c>
      <c r="H32" s="1">
        <v>1895</v>
      </c>
      <c r="I32" s="1" t="str">
        <f t="shared" si="0"/>
        <v>ACGL</v>
      </c>
      <c r="J32">
        <v>1.62414E-2</v>
      </c>
      <c r="K32">
        <v>-8.2698561601E-3</v>
      </c>
      <c r="L32">
        <v>2.8980599999999999E-2</v>
      </c>
    </row>
    <row r="33" spans="3:12" x14ac:dyDescent="0.3">
      <c r="C33" s="1" t="s">
        <v>13</v>
      </c>
      <c r="D33" s="1">
        <v>-119.4324</v>
      </c>
      <c r="E33" s="1">
        <v>37.261499999999899</v>
      </c>
      <c r="F33" s="1">
        <v>1792.5378000000001</v>
      </c>
      <c r="G33" s="1">
        <v>4.1040000000000001</v>
      </c>
      <c r="H33" s="1">
        <v>1895</v>
      </c>
      <c r="I33" s="1" t="str">
        <f t="shared" si="0"/>
        <v>ACGL</v>
      </c>
      <c r="J33">
        <v>1.62414E-2</v>
      </c>
      <c r="K33">
        <v>-8.2698561601E-3</v>
      </c>
      <c r="L33">
        <v>2.8980599999999999E-2</v>
      </c>
    </row>
    <row r="34" spans="3:12" x14ac:dyDescent="0.3">
      <c r="C34" s="1" t="s">
        <v>14</v>
      </c>
      <c r="D34" s="1">
        <v>5.3539166666666702</v>
      </c>
      <c r="E34" s="1">
        <v>45.007733333333299</v>
      </c>
      <c r="F34" s="1">
        <v>761.62267999999995</v>
      </c>
      <c r="G34" s="1">
        <v>2.6989999999999998</v>
      </c>
      <c r="H34" s="1">
        <v>1905</v>
      </c>
      <c r="I34" s="1" t="str">
        <f t="shared" si="0"/>
        <v>ACMO</v>
      </c>
      <c r="J34">
        <v>1.3298900000000001E-2</v>
      </c>
      <c r="K34">
        <v>-1.2570981863665001E-2</v>
      </c>
      <c r="L34">
        <v>-0.61279859999999997</v>
      </c>
    </row>
    <row r="35" spans="3:12" x14ac:dyDescent="0.3">
      <c r="C35" s="1" t="s">
        <v>14</v>
      </c>
      <c r="D35" s="1">
        <v>7.0965499999999997</v>
      </c>
      <c r="E35" s="1">
        <v>43.006549999999997</v>
      </c>
      <c r="F35" s="1" t="s">
        <v>112</v>
      </c>
      <c r="G35" s="1">
        <v>2.9289999999999998</v>
      </c>
      <c r="H35" s="1">
        <v>1981</v>
      </c>
      <c r="I35" s="1" t="str">
        <f t="shared" si="0"/>
        <v>ACMO</v>
      </c>
      <c r="J35" t="s">
        <v>112</v>
      </c>
      <c r="K35" t="s">
        <v>112</v>
      </c>
      <c r="L35" t="s">
        <v>112</v>
      </c>
    </row>
    <row r="36" spans="3:12" x14ac:dyDescent="0.3">
      <c r="C36" s="1" t="s">
        <v>12</v>
      </c>
      <c r="D36" s="1">
        <v>-119.4324</v>
      </c>
      <c r="E36" s="1">
        <v>37.261499999999899</v>
      </c>
      <c r="F36" s="1">
        <v>1792.5378000000001</v>
      </c>
      <c r="G36" s="1">
        <v>2.7469999999999999</v>
      </c>
      <c r="H36" s="1">
        <v>1895</v>
      </c>
      <c r="I36" s="1" t="str">
        <f t="shared" si="0"/>
        <v>ACNE</v>
      </c>
      <c r="J36">
        <v>1.62414E-2</v>
      </c>
      <c r="K36">
        <v>-8.2698561601E-3</v>
      </c>
      <c r="L36">
        <v>2.8980599999999999E-2</v>
      </c>
    </row>
    <row r="37" spans="3:12" x14ac:dyDescent="0.3">
      <c r="C37" s="1" t="s">
        <v>12</v>
      </c>
      <c r="D37" s="1">
        <v>10.8605</v>
      </c>
      <c r="E37" s="1">
        <v>45.7196</v>
      </c>
      <c r="F37" s="1">
        <v>1367.8629000000001</v>
      </c>
      <c r="G37" t="s">
        <v>112</v>
      </c>
      <c r="H37" s="1">
        <v>1989</v>
      </c>
      <c r="I37" s="1" t="str">
        <f t="shared" si="0"/>
        <v>ACNE</v>
      </c>
      <c r="J37">
        <v>5.4095999999999997E-3</v>
      </c>
      <c r="K37">
        <v>-8.6163227016889995E-3</v>
      </c>
      <c r="L37">
        <v>-5.6400000000000002E-5</v>
      </c>
    </row>
    <row r="38" spans="3:12" x14ac:dyDescent="0.3">
      <c r="C38" s="1" t="s">
        <v>15</v>
      </c>
      <c r="D38" s="1">
        <v>7.0965499999999997</v>
      </c>
      <c r="E38" s="1">
        <v>43.006549999999997</v>
      </c>
      <c r="F38" s="1" t="s">
        <v>112</v>
      </c>
      <c r="G38" s="1">
        <v>0.85699999999999998</v>
      </c>
      <c r="H38" s="1">
        <v>1981</v>
      </c>
      <c r="I38" s="1" t="str">
        <f t="shared" si="0"/>
        <v>ACOP</v>
      </c>
      <c r="J38" t="s">
        <v>112</v>
      </c>
      <c r="K38" t="s">
        <v>112</v>
      </c>
      <c r="L38" t="s">
        <v>112</v>
      </c>
    </row>
    <row r="39" spans="3:12" x14ac:dyDescent="0.3">
      <c r="C39" s="1" t="s">
        <v>15</v>
      </c>
      <c r="D39" s="1">
        <v>5.3539166666666702</v>
      </c>
      <c r="E39" s="1">
        <v>45.007733333333299</v>
      </c>
      <c r="F39" s="1">
        <v>761.62267999999995</v>
      </c>
      <c r="G39" s="1">
        <v>2.66</v>
      </c>
      <c r="H39" s="1">
        <v>1905</v>
      </c>
      <c r="I39" s="1" t="str">
        <f t="shared" si="0"/>
        <v>ACOP</v>
      </c>
      <c r="J39">
        <v>1.3298900000000001E-2</v>
      </c>
      <c r="K39">
        <v>-1.2570981863665001E-2</v>
      </c>
      <c r="L39">
        <v>-0.61279859999999997</v>
      </c>
    </row>
    <row r="40" spans="3:12" x14ac:dyDescent="0.3">
      <c r="C40" s="1" t="s">
        <v>16</v>
      </c>
      <c r="D40" s="1">
        <v>13.4633</v>
      </c>
      <c r="E40" s="1">
        <v>48.921500000000002</v>
      </c>
      <c r="F40" s="1">
        <v>869.87121999999999</v>
      </c>
      <c r="G40" s="1">
        <v>-2.2389999999999999</v>
      </c>
      <c r="H40" s="1">
        <v>1902</v>
      </c>
      <c r="I40" s="1" t="str">
        <f t="shared" si="0"/>
        <v>ACPL</v>
      </c>
      <c r="J40">
        <v>2.1232E-3</v>
      </c>
      <c r="K40">
        <v>-5.7588805503439998E-2</v>
      </c>
      <c r="L40">
        <v>-0.5666291</v>
      </c>
    </row>
    <row r="41" spans="3:12" x14ac:dyDescent="0.3">
      <c r="C41" s="1" t="s">
        <v>16</v>
      </c>
      <c r="D41" s="1">
        <v>2.0886</v>
      </c>
      <c r="E41" s="1">
        <v>46.670499999999898</v>
      </c>
      <c r="F41" s="1">
        <v>264.83069</v>
      </c>
      <c r="G41" s="1">
        <v>0.11700000000000001</v>
      </c>
      <c r="H41" s="1">
        <v>1914</v>
      </c>
      <c r="I41" s="1" t="str">
        <f t="shared" si="0"/>
        <v>ACPL</v>
      </c>
      <c r="J41">
        <v>1.49062E-2</v>
      </c>
      <c r="K41">
        <v>3.8769856160100001E-2</v>
      </c>
      <c r="L41">
        <v>-0.25414009999999998</v>
      </c>
    </row>
    <row r="42" spans="3:12" x14ac:dyDescent="0.3">
      <c r="C42" s="1" t="s">
        <v>16</v>
      </c>
      <c r="D42" s="1">
        <v>19.6858</v>
      </c>
      <c r="E42" s="1">
        <v>48.844700000000003</v>
      </c>
      <c r="F42" s="1">
        <v>701.47131000000002</v>
      </c>
      <c r="G42" s="1">
        <v>0.55100000000000005</v>
      </c>
      <c r="H42" s="1">
        <v>1966</v>
      </c>
      <c r="I42" s="1" t="str">
        <f t="shared" si="0"/>
        <v>ACPL</v>
      </c>
      <c r="J42">
        <v>-1.7639100000000001E-2</v>
      </c>
      <c r="K42">
        <v>-3.2774233896185001E-2</v>
      </c>
      <c r="L42">
        <v>-0.5645559</v>
      </c>
    </row>
    <row r="43" spans="3:12" x14ac:dyDescent="0.3">
      <c r="C43" s="1" t="s">
        <v>16</v>
      </c>
      <c r="D43" s="1">
        <v>19.6858</v>
      </c>
      <c r="E43" s="1">
        <v>48.844700000000003</v>
      </c>
      <c r="F43" s="1">
        <v>701.47131000000002</v>
      </c>
      <c r="G43" s="1">
        <v>0.90100000000000002</v>
      </c>
      <c r="H43" s="1">
        <v>1966</v>
      </c>
      <c r="I43" s="1" t="str">
        <f t="shared" si="0"/>
        <v>ACPL</v>
      </c>
      <c r="J43">
        <v>-1.7639100000000001E-2</v>
      </c>
      <c r="K43">
        <v>-3.2774233896185001E-2</v>
      </c>
      <c r="L43">
        <v>-0.5645559</v>
      </c>
    </row>
    <row r="44" spans="3:12" x14ac:dyDescent="0.3">
      <c r="C44" s="1" t="s">
        <v>16</v>
      </c>
      <c r="D44" s="1">
        <v>19.6858</v>
      </c>
      <c r="E44" s="1">
        <v>48.844700000000003</v>
      </c>
      <c r="F44" s="1">
        <v>701.47131000000002</v>
      </c>
      <c r="G44" s="1">
        <v>1.1879999999999999</v>
      </c>
      <c r="H44" s="1">
        <v>1966</v>
      </c>
      <c r="I44" s="1" t="str">
        <f t="shared" si="0"/>
        <v>ACPL</v>
      </c>
      <c r="J44">
        <v>-1.7639100000000001E-2</v>
      </c>
      <c r="K44">
        <v>-3.2774233896185001E-2</v>
      </c>
      <c r="L44">
        <v>-0.5645559</v>
      </c>
    </row>
    <row r="45" spans="3:12" x14ac:dyDescent="0.3">
      <c r="C45" s="1" t="s">
        <v>16</v>
      </c>
      <c r="D45" s="1">
        <v>5.3539166666666702</v>
      </c>
      <c r="E45" s="1">
        <v>45.007733333333299</v>
      </c>
      <c r="F45" s="1">
        <v>761.62267999999995</v>
      </c>
      <c r="G45" s="1">
        <v>2.4079999999999999</v>
      </c>
      <c r="H45" s="1">
        <v>1905</v>
      </c>
      <c r="I45" s="1" t="str">
        <f t="shared" si="0"/>
        <v>ACPL</v>
      </c>
      <c r="J45">
        <v>1.3298900000000001E-2</v>
      </c>
      <c r="K45">
        <v>-1.2570981863665001E-2</v>
      </c>
      <c r="L45">
        <v>-0.61279859999999997</v>
      </c>
    </row>
    <row r="46" spans="3:12" x14ac:dyDescent="0.3">
      <c r="C46" s="1" t="s">
        <v>16</v>
      </c>
      <c r="D46" s="1">
        <v>2.0886</v>
      </c>
      <c r="E46" s="1">
        <v>46.670499999999898</v>
      </c>
      <c r="F46" s="1">
        <v>264.83069</v>
      </c>
      <c r="G46" s="1">
        <v>2.5790000000000002</v>
      </c>
      <c r="H46" s="1">
        <v>1914</v>
      </c>
      <c r="I46" s="1" t="str">
        <f t="shared" si="0"/>
        <v>ACPL</v>
      </c>
      <c r="J46">
        <v>1.49062E-2</v>
      </c>
      <c r="K46">
        <v>3.8769856160100001E-2</v>
      </c>
      <c r="L46">
        <v>-0.25414009999999998</v>
      </c>
    </row>
    <row r="47" spans="3:12" x14ac:dyDescent="0.3">
      <c r="C47" s="1" t="s">
        <v>16</v>
      </c>
      <c r="D47" s="1">
        <v>2.0886</v>
      </c>
      <c r="E47" s="1">
        <v>46.670499999999898</v>
      </c>
      <c r="F47" s="1">
        <v>264.83069</v>
      </c>
      <c r="G47" s="1">
        <v>6.4480000000000004</v>
      </c>
      <c r="H47" s="1">
        <v>1914</v>
      </c>
      <c r="I47" s="1" t="str">
        <f t="shared" si="0"/>
        <v>ACPL</v>
      </c>
      <c r="J47">
        <v>1.49062E-2</v>
      </c>
      <c r="K47">
        <v>3.8769856160100001E-2</v>
      </c>
      <c r="L47">
        <v>-0.25414009999999998</v>
      </c>
    </row>
    <row r="48" spans="3:12" x14ac:dyDescent="0.3">
      <c r="C48" s="1" t="s">
        <v>16</v>
      </c>
      <c r="D48" s="1">
        <v>10.8605</v>
      </c>
      <c r="E48" s="1">
        <v>45.7196</v>
      </c>
      <c r="F48" s="1">
        <v>1367.8629000000001</v>
      </c>
      <c r="G48" s="1">
        <v>9.8230000000000004</v>
      </c>
      <c r="H48" s="1">
        <v>1989</v>
      </c>
      <c r="I48" s="1" t="str">
        <f t="shared" si="0"/>
        <v>ACPL</v>
      </c>
      <c r="J48">
        <v>5.4095999999999997E-3</v>
      </c>
      <c r="K48">
        <v>-8.6163227016889995E-3</v>
      </c>
      <c r="L48">
        <v>-5.6400000000000002E-5</v>
      </c>
    </row>
    <row r="49" spans="3:12" x14ac:dyDescent="0.3">
      <c r="C49" s="1" t="s">
        <v>17</v>
      </c>
      <c r="D49" s="1">
        <v>19.6858</v>
      </c>
      <c r="E49" s="1">
        <v>48.844700000000003</v>
      </c>
      <c r="F49" s="1">
        <v>701.47131000000002</v>
      </c>
      <c r="G49" s="1">
        <v>-1.304</v>
      </c>
      <c r="H49" s="1">
        <v>1966</v>
      </c>
      <c r="I49" s="1" t="str">
        <f t="shared" si="0"/>
        <v>ACPS</v>
      </c>
      <c r="J49">
        <v>-1.7639100000000001E-2</v>
      </c>
      <c r="K49">
        <v>-3.2774233896185001E-2</v>
      </c>
      <c r="L49">
        <v>-0.5645559</v>
      </c>
    </row>
    <row r="50" spans="3:12" x14ac:dyDescent="0.3">
      <c r="C50" s="1" t="s">
        <v>17</v>
      </c>
      <c r="D50" s="1">
        <v>2.0886</v>
      </c>
      <c r="E50" s="1">
        <v>46.670499999999898</v>
      </c>
      <c r="F50" s="1">
        <v>264.83069</v>
      </c>
      <c r="G50" s="1">
        <v>-0.86199999999999999</v>
      </c>
      <c r="H50" s="1">
        <v>1914</v>
      </c>
      <c r="I50" s="1" t="str">
        <f t="shared" si="0"/>
        <v>ACPS</v>
      </c>
      <c r="J50">
        <v>1.49062E-2</v>
      </c>
      <c r="K50">
        <v>3.8769856160100001E-2</v>
      </c>
      <c r="L50">
        <v>-0.25414009999999998</v>
      </c>
    </row>
    <row r="51" spans="3:12" x14ac:dyDescent="0.3">
      <c r="C51" s="1" t="s">
        <v>17</v>
      </c>
      <c r="D51" s="1">
        <v>13.4633</v>
      </c>
      <c r="E51" s="1">
        <v>48.921500000000002</v>
      </c>
      <c r="F51" s="1">
        <v>869.87121999999999</v>
      </c>
      <c r="G51" s="1">
        <v>-0.46899999999999997</v>
      </c>
      <c r="H51" s="1">
        <v>1902</v>
      </c>
      <c r="I51" s="1" t="str">
        <f t="shared" si="0"/>
        <v>ACPS</v>
      </c>
      <c r="J51">
        <v>2.1232E-3</v>
      </c>
      <c r="K51">
        <v>-5.7588805503439998E-2</v>
      </c>
      <c r="L51">
        <v>-0.5666291</v>
      </c>
    </row>
    <row r="52" spans="3:12" x14ac:dyDescent="0.3">
      <c r="C52" s="1" t="s">
        <v>17</v>
      </c>
      <c r="D52" s="1">
        <v>19.6858</v>
      </c>
      <c r="E52" s="1">
        <v>48.844700000000003</v>
      </c>
      <c r="F52" s="1">
        <v>701.47131000000002</v>
      </c>
      <c r="G52" s="1">
        <v>-0.223</v>
      </c>
      <c r="H52" s="1">
        <v>1966</v>
      </c>
      <c r="I52" s="1" t="str">
        <f t="shared" si="0"/>
        <v>ACPS</v>
      </c>
      <c r="J52">
        <v>-1.7639100000000001E-2</v>
      </c>
      <c r="K52">
        <v>-3.2774233896185001E-2</v>
      </c>
      <c r="L52">
        <v>-0.5645559</v>
      </c>
    </row>
    <row r="53" spans="3:12" x14ac:dyDescent="0.3">
      <c r="C53" s="1" t="s">
        <v>17</v>
      </c>
      <c r="D53" s="1">
        <v>19.6858</v>
      </c>
      <c r="E53" s="1">
        <v>48.844700000000003</v>
      </c>
      <c r="F53" s="1">
        <v>701.47131000000002</v>
      </c>
      <c r="G53" s="1">
        <v>7.1999999999999995E-2</v>
      </c>
      <c r="H53" s="1">
        <v>1966</v>
      </c>
      <c r="I53" s="1" t="str">
        <f t="shared" si="0"/>
        <v>ACPS</v>
      </c>
      <c r="J53">
        <v>-1.7639100000000001E-2</v>
      </c>
      <c r="K53">
        <v>-3.2774233896185001E-2</v>
      </c>
      <c r="L53">
        <v>-0.5645559</v>
      </c>
    </row>
    <row r="54" spans="3:12" x14ac:dyDescent="0.3">
      <c r="C54" s="1" t="s">
        <v>17</v>
      </c>
      <c r="D54" s="1">
        <v>2.0886</v>
      </c>
      <c r="E54" s="1">
        <v>46.670499999999898</v>
      </c>
      <c r="F54" s="1">
        <v>264.83069</v>
      </c>
      <c r="G54" s="1">
        <v>0.124</v>
      </c>
      <c r="H54" s="1">
        <v>1914</v>
      </c>
      <c r="I54" s="1" t="str">
        <f t="shared" si="0"/>
        <v>ACPS</v>
      </c>
      <c r="J54">
        <v>1.49062E-2</v>
      </c>
      <c r="K54">
        <v>3.8769856160100001E-2</v>
      </c>
      <c r="L54">
        <v>-0.25414009999999998</v>
      </c>
    </row>
    <row r="55" spans="3:12" x14ac:dyDescent="0.3">
      <c r="C55" s="1" t="s">
        <v>17</v>
      </c>
      <c r="D55" s="1">
        <v>2.0886</v>
      </c>
      <c r="E55" s="1">
        <v>46.670499999999898</v>
      </c>
      <c r="F55" s="1">
        <v>264.83069</v>
      </c>
      <c r="G55" s="1">
        <v>1.2829999999999999</v>
      </c>
      <c r="H55" s="1">
        <v>1914</v>
      </c>
      <c r="I55" s="1" t="str">
        <f t="shared" si="0"/>
        <v>ACPS</v>
      </c>
      <c r="J55">
        <v>1.49062E-2</v>
      </c>
      <c r="K55">
        <v>3.8769856160100001E-2</v>
      </c>
      <c r="L55">
        <v>-0.25414009999999998</v>
      </c>
    </row>
    <row r="56" spans="3:12" x14ac:dyDescent="0.3">
      <c r="C56" s="1" t="s">
        <v>17</v>
      </c>
      <c r="D56" s="1">
        <v>5.3539166666666702</v>
      </c>
      <c r="E56" s="1">
        <v>45.007733333333299</v>
      </c>
      <c r="F56" s="1">
        <v>761.62267999999995</v>
      </c>
      <c r="G56" s="1">
        <v>2.66</v>
      </c>
      <c r="H56" s="1">
        <v>1905</v>
      </c>
      <c r="I56" s="1" t="str">
        <f t="shared" si="0"/>
        <v>ACPS</v>
      </c>
      <c r="J56">
        <v>1.3298900000000001E-2</v>
      </c>
      <c r="K56">
        <v>-1.2570981863665001E-2</v>
      </c>
      <c r="L56">
        <v>-0.61279859999999997</v>
      </c>
    </row>
    <row r="57" spans="3:12" x14ac:dyDescent="0.3">
      <c r="C57" s="1" t="s">
        <v>17</v>
      </c>
      <c r="D57" s="1">
        <v>7.0965499999999997</v>
      </c>
      <c r="E57" s="1">
        <v>43.006549999999997</v>
      </c>
      <c r="F57" s="1" t="s">
        <v>112</v>
      </c>
      <c r="G57" s="1">
        <v>4.8570000000000002</v>
      </c>
      <c r="H57" s="1">
        <v>1981</v>
      </c>
      <c r="I57" s="1" t="str">
        <f t="shared" si="0"/>
        <v>ACPS</v>
      </c>
      <c r="J57" t="s">
        <v>112</v>
      </c>
      <c r="K57" t="s">
        <v>112</v>
      </c>
      <c r="L57" t="s">
        <v>112</v>
      </c>
    </row>
    <row r="58" spans="3:12" x14ac:dyDescent="0.3">
      <c r="C58" s="1" t="s">
        <v>17</v>
      </c>
      <c r="D58" s="1">
        <v>10.8605</v>
      </c>
      <c r="E58" s="1">
        <v>45.7196</v>
      </c>
      <c r="F58" s="1">
        <v>1367.8629000000001</v>
      </c>
      <c r="G58" s="1">
        <v>6.1040000000000001</v>
      </c>
      <c r="H58" s="1">
        <v>1989</v>
      </c>
      <c r="I58" s="1" t="str">
        <f t="shared" si="0"/>
        <v>ACPS</v>
      </c>
      <c r="J58">
        <v>5.4095999999999997E-3</v>
      </c>
      <c r="K58">
        <v>-8.6163227016889995E-3</v>
      </c>
      <c r="L58">
        <v>-5.6400000000000002E-5</v>
      </c>
    </row>
    <row r="59" spans="3:12" x14ac:dyDescent="0.3">
      <c r="C59" s="1" t="s">
        <v>18</v>
      </c>
      <c r="D59" s="1">
        <v>-71.156700000000001</v>
      </c>
      <c r="E59" s="1">
        <v>45.460099999999898</v>
      </c>
      <c r="F59" s="1">
        <v>901.67474000000004</v>
      </c>
      <c r="G59" s="1">
        <v>-7.0000000000000007E-2</v>
      </c>
      <c r="H59" s="1">
        <v>1970</v>
      </c>
      <c r="I59" s="1" t="str">
        <f t="shared" si="0"/>
        <v>ACRU</v>
      </c>
      <c r="J59">
        <v>6.8230000000000001E-3</v>
      </c>
      <c r="K59">
        <v>1.2881801125703999E-2</v>
      </c>
      <c r="L59">
        <v>0.35348039999999997</v>
      </c>
    </row>
    <row r="60" spans="3:12" x14ac:dyDescent="0.3">
      <c r="C60" s="1" t="s">
        <v>19</v>
      </c>
      <c r="D60" s="1">
        <v>-71.156700000000001</v>
      </c>
      <c r="E60" s="1">
        <v>45.460099999999898</v>
      </c>
      <c r="F60" s="1">
        <v>901.67474000000004</v>
      </c>
      <c r="G60" s="1">
        <v>7.0000000000000007E-2</v>
      </c>
      <c r="H60" s="1">
        <v>1970</v>
      </c>
      <c r="I60" s="1" t="str">
        <f t="shared" si="0"/>
        <v>ACSA</v>
      </c>
      <c r="J60">
        <v>6.8230000000000001E-3</v>
      </c>
      <c r="K60">
        <v>1.2881801125703999E-2</v>
      </c>
      <c r="L60">
        <v>0.35348039999999997</v>
      </c>
    </row>
    <row r="61" spans="3:12" x14ac:dyDescent="0.3">
      <c r="C61" s="1" t="s">
        <v>14</v>
      </c>
      <c r="D61" s="1">
        <v>10.0448</v>
      </c>
      <c r="E61" s="1">
        <v>46.602699999999899</v>
      </c>
      <c r="F61" s="1">
        <v>1978.8960999999999</v>
      </c>
      <c r="G61" s="1">
        <v>-0.14799999999999999</v>
      </c>
      <c r="H61" s="1">
        <v>1912</v>
      </c>
      <c r="I61" s="1" t="str">
        <f t="shared" si="0"/>
        <v>ACMO</v>
      </c>
      <c r="J61">
        <v>1.1554099999999999E-2</v>
      </c>
      <c r="K61">
        <v>1.3260162601626E-2</v>
      </c>
      <c r="L61">
        <v>-0.16215450000000001</v>
      </c>
    </row>
    <row r="62" spans="3:12" x14ac:dyDescent="0.3">
      <c r="C62" s="1" t="s">
        <v>11</v>
      </c>
      <c r="D62" s="1">
        <v>10.8605</v>
      </c>
      <c r="E62" s="1">
        <v>45.7196</v>
      </c>
      <c r="F62" s="1">
        <v>1367.8629000000001</v>
      </c>
      <c r="G62" s="1">
        <v>4.3259999999999996</v>
      </c>
      <c r="H62" s="1">
        <v>1989</v>
      </c>
      <c r="I62" s="1" t="str">
        <f t="shared" si="0"/>
        <v>ACCA</v>
      </c>
      <c r="J62">
        <v>5.4095999999999997E-3</v>
      </c>
      <c r="K62">
        <v>-8.6163227016889995E-3</v>
      </c>
      <c r="L62">
        <v>-5.6400000000000002E-5</v>
      </c>
    </row>
    <row r="63" spans="3:12" x14ac:dyDescent="0.3">
      <c r="C63" s="1" t="s">
        <v>12</v>
      </c>
      <c r="D63" s="1">
        <v>-119.4324</v>
      </c>
      <c r="E63" s="1">
        <v>37.261499999999899</v>
      </c>
      <c r="F63" s="1">
        <v>1792.5378000000001</v>
      </c>
      <c r="G63" s="1">
        <v>3.65</v>
      </c>
      <c r="H63" s="1">
        <v>1895</v>
      </c>
      <c r="I63" s="1" t="str">
        <f t="shared" si="0"/>
        <v>ACNE</v>
      </c>
      <c r="J63">
        <v>1.62414E-2</v>
      </c>
      <c r="K63">
        <v>-8.2698561601E-3</v>
      </c>
      <c r="L63">
        <v>2.8980599999999999E-2</v>
      </c>
    </row>
    <row r="64" spans="3:12" x14ac:dyDescent="0.3">
      <c r="C64" s="1" t="s">
        <v>14</v>
      </c>
      <c r="D64" s="1">
        <v>-119.4324</v>
      </c>
      <c r="E64" s="1">
        <v>37.261499999999899</v>
      </c>
      <c r="F64" s="1">
        <v>1792.5378000000001</v>
      </c>
      <c r="G64" s="1">
        <v>-1.1240000000000001</v>
      </c>
      <c r="H64" s="1">
        <v>1895</v>
      </c>
      <c r="I64" s="1" t="str">
        <f t="shared" si="0"/>
        <v>ACMO</v>
      </c>
      <c r="J64">
        <v>1.62414E-2</v>
      </c>
      <c r="K64">
        <v>-8.2698561601E-3</v>
      </c>
      <c r="L64">
        <v>2.8980599999999999E-2</v>
      </c>
    </row>
    <row r="65" spans="3:12" x14ac:dyDescent="0.3">
      <c r="C65" s="1" t="s">
        <v>10</v>
      </c>
      <c r="D65" s="1">
        <v>-119.4324</v>
      </c>
      <c r="E65" s="1">
        <v>37.261499999999899</v>
      </c>
      <c r="F65" s="1">
        <v>1792.5378000000001</v>
      </c>
      <c r="G65" s="1">
        <v>0.78100000000000003</v>
      </c>
      <c r="H65" s="1">
        <v>1895</v>
      </c>
      <c r="I65" s="1" t="str">
        <f t="shared" si="0"/>
        <v>ACDE</v>
      </c>
      <c r="J65">
        <v>1.62414E-2</v>
      </c>
      <c r="K65">
        <v>-8.2698561601E-3</v>
      </c>
      <c r="L65">
        <v>2.8980599999999999E-2</v>
      </c>
    </row>
    <row r="66" spans="3:12" x14ac:dyDescent="0.3">
      <c r="C66" s="1" t="s">
        <v>10</v>
      </c>
      <c r="D66" s="1">
        <v>-119.4324</v>
      </c>
      <c r="E66" s="1">
        <v>37.261499999999899</v>
      </c>
      <c r="F66" s="1">
        <v>1792.5378000000001</v>
      </c>
      <c r="G66" s="1">
        <v>0.42699999999999999</v>
      </c>
      <c r="H66" s="1">
        <v>1895</v>
      </c>
      <c r="I66" s="1" t="str">
        <f t="shared" si="0"/>
        <v>ACDE</v>
      </c>
      <c r="J66">
        <v>1.62414E-2</v>
      </c>
      <c r="K66">
        <v>-8.2698561601E-3</v>
      </c>
      <c r="L66">
        <v>2.8980599999999999E-2</v>
      </c>
    </row>
    <row r="67" spans="3:12" x14ac:dyDescent="0.3">
      <c r="C67" s="1" t="s">
        <v>13</v>
      </c>
      <c r="D67" s="1">
        <v>-119.4324</v>
      </c>
      <c r="E67" s="1">
        <v>37.261499999999899</v>
      </c>
      <c r="F67" s="1">
        <v>1792.5378000000001</v>
      </c>
      <c r="G67" s="1">
        <v>-0.74399999999999999</v>
      </c>
      <c r="H67" s="1">
        <v>1895</v>
      </c>
      <c r="I67" s="1" t="str">
        <f t="shared" si="0"/>
        <v>ACGL</v>
      </c>
      <c r="J67">
        <v>1.62414E-2</v>
      </c>
      <c r="K67">
        <v>-8.2698561601E-3</v>
      </c>
      <c r="L67">
        <v>2.8980599999999999E-2</v>
      </c>
    </row>
    <row r="68" spans="3:12" x14ac:dyDescent="0.3">
      <c r="C68" s="1" t="s">
        <v>13</v>
      </c>
      <c r="D68" s="1">
        <v>-119.4324</v>
      </c>
      <c r="E68" s="1">
        <v>37.261499999999899</v>
      </c>
      <c r="F68" s="1">
        <v>1792.5378000000001</v>
      </c>
      <c r="G68" s="1">
        <v>3.6999999999999998E-2</v>
      </c>
      <c r="H68" s="1">
        <v>1895</v>
      </c>
      <c r="I68" s="1" t="str">
        <f t="shared" ref="I68:I131" si="1">RIGHT(LEFT(C68,5),4)</f>
        <v>ACGL</v>
      </c>
      <c r="J68">
        <v>1.62414E-2</v>
      </c>
      <c r="K68">
        <v>-8.2698561601E-3</v>
      </c>
      <c r="L68">
        <v>2.8980599999999999E-2</v>
      </c>
    </row>
    <row r="69" spans="3:12" x14ac:dyDescent="0.3">
      <c r="C69" s="1" t="s">
        <v>13</v>
      </c>
      <c r="D69" s="1">
        <v>-119.4324</v>
      </c>
      <c r="E69" s="1">
        <v>37.261499999999899</v>
      </c>
      <c r="F69" s="1">
        <v>1792.5378000000001</v>
      </c>
      <c r="G69" s="1">
        <v>2.206</v>
      </c>
      <c r="H69" s="1">
        <v>1895</v>
      </c>
      <c r="I69" s="1" t="str">
        <f t="shared" si="1"/>
        <v>ACGL</v>
      </c>
      <c r="J69">
        <v>1.62414E-2</v>
      </c>
      <c r="K69">
        <v>-8.2698561601E-3</v>
      </c>
      <c r="L69">
        <v>2.8980599999999999E-2</v>
      </c>
    </row>
    <row r="70" spans="3:12" x14ac:dyDescent="0.3">
      <c r="C70" s="1" t="s">
        <v>12</v>
      </c>
      <c r="D70" s="1">
        <v>-119.4324</v>
      </c>
      <c r="E70" s="1">
        <v>37.261499999999899</v>
      </c>
      <c r="F70" s="1">
        <v>1792.5378000000001</v>
      </c>
      <c r="G70" s="1">
        <v>-0.67500000000000004</v>
      </c>
      <c r="H70" s="1">
        <v>1895</v>
      </c>
      <c r="I70" s="1" t="str">
        <f t="shared" si="1"/>
        <v>ACNE</v>
      </c>
      <c r="J70">
        <v>1.62414E-2</v>
      </c>
      <c r="K70">
        <v>-8.2698561601E-3</v>
      </c>
      <c r="L70">
        <v>2.8980599999999999E-2</v>
      </c>
    </row>
    <row r="71" spans="3:12" x14ac:dyDescent="0.3">
      <c r="C71" s="1" t="s">
        <v>12</v>
      </c>
      <c r="D71" s="1">
        <v>-119.4324</v>
      </c>
      <c r="E71" s="1">
        <v>37.261499999999899</v>
      </c>
      <c r="F71" s="1">
        <v>1792.5378000000001</v>
      </c>
      <c r="G71" s="1">
        <v>0.45100000000000001</v>
      </c>
      <c r="H71" s="1">
        <v>1895</v>
      </c>
      <c r="I71" s="1" t="str">
        <f t="shared" si="1"/>
        <v>ACNE</v>
      </c>
      <c r="J71">
        <v>1.62414E-2</v>
      </c>
      <c r="K71">
        <v>-8.2698561601E-3</v>
      </c>
      <c r="L71">
        <v>2.8980599999999999E-2</v>
      </c>
    </row>
    <row r="72" spans="3:12" x14ac:dyDescent="0.3">
      <c r="C72" s="1" t="s">
        <v>12</v>
      </c>
      <c r="D72" s="1">
        <v>-119.4324</v>
      </c>
      <c r="E72" s="1">
        <v>37.261499999999899</v>
      </c>
      <c r="F72" s="1">
        <v>1792.5378000000001</v>
      </c>
      <c r="G72" s="1">
        <v>4.0529999999999999</v>
      </c>
      <c r="H72" s="1">
        <v>1895</v>
      </c>
      <c r="I72" s="1" t="str">
        <f t="shared" si="1"/>
        <v>ACNE</v>
      </c>
      <c r="J72">
        <v>1.62414E-2</v>
      </c>
      <c r="K72">
        <v>-8.2698561601E-3</v>
      </c>
      <c r="L72">
        <v>2.8980599999999999E-2</v>
      </c>
    </row>
    <row r="73" spans="3:12" x14ac:dyDescent="0.3">
      <c r="C73" s="1" t="s">
        <v>10</v>
      </c>
      <c r="D73" s="1">
        <v>10.8605</v>
      </c>
      <c r="E73" s="1">
        <v>45.7196</v>
      </c>
      <c r="F73" s="1">
        <v>1367.8629000000001</v>
      </c>
      <c r="G73" s="2" t="s">
        <v>112</v>
      </c>
      <c r="H73" s="1">
        <v>1989</v>
      </c>
      <c r="I73" s="1" t="str">
        <f t="shared" si="1"/>
        <v>ACDE</v>
      </c>
      <c r="J73">
        <v>5.4095999999999997E-3</v>
      </c>
      <c r="K73">
        <v>-8.6163227016889995E-3</v>
      </c>
      <c r="L73">
        <v>-5.6400000000000002E-5</v>
      </c>
    </row>
    <row r="74" spans="3:12" x14ac:dyDescent="0.3">
      <c r="C74" s="1" t="s">
        <v>18</v>
      </c>
      <c r="D74" s="1">
        <v>-119.4324</v>
      </c>
      <c r="E74" s="1">
        <v>37.261499999999899</v>
      </c>
      <c r="F74" s="1">
        <v>1792.5378000000001</v>
      </c>
      <c r="G74" s="1">
        <v>3.294</v>
      </c>
      <c r="H74" s="1">
        <v>1895</v>
      </c>
      <c r="I74" s="1" t="str">
        <f t="shared" si="1"/>
        <v>ACRU</v>
      </c>
      <c r="J74">
        <v>1.62414E-2</v>
      </c>
      <c r="K74">
        <v>-8.2698561601E-3</v>
      </c>
      <c r="L74">
        <v>2.8980599999999999E-2</v>
      </c>
    </row>
    <row r="75" spans="3:12" x14ac:dyDescent="0.3">
      <c r="C75" s="1" t="s">
        <v>20</v>
      </c>
      <c r="D75" s="1">
        <v>-119.4324</v>
      </c>
      <c r="E75" s="1">
        <v>37.261499999999899</v>
      </c>
      <c r="F75" s="1">
        <v>1792.5378000000001</v>
      </c>
      <c r="G75" s="1">
        <v>-0.96599999999999997</v>
      </c>
      <c r="H75" s="1">
        <v>1895</v>
      </c>
      <c r="I75" s="1" t="str">
        <f t="shared" si="1"/>
        <v>ADFA</v>
      </c>
      <c r="J75">
        <v>1.62414E-2</v>
      </c>
      <c r="K75">
        <v>-8.2698561601E-3</v>
      </c>
      <c r="L75">
        <v>2.8980599999999999E-2</v>
      </c>
    </row>
    <row r="76" spans="3:12" x14ac:dyDescent="0.3">
      <c r="C76" s="1" t="s">
        <v>20</v>
      </c>
      <c r="D76" s="1">
        <v>-121.3335</v>
      </c>
      <c r="E76" s="1">
        <v>38.500700000000002</v>
      </c>
      <c r="F76" s="1">
        <v>17.796066</v>
      </c>
      <c r="G76" s="1">
        <v>-0.182</v>
      </c>
      <c r="H76" s="1">
        <v>1930</v>
      </c>
      <c r="I76" s="1" t="str">
        <f t="shared" si="1"/>
        <v>ADFA</v>
      </c>
      <c r="J76">
        <v>7.2951999999999999E-3</v>
      </c>
      <c r="K76">
        <v>4.4734208880549998E-3</v>
      </c>
      <c r="L76">
        <v>3.0206E-3</v>
      </c>
    </row>
    <row r="77" spans="3:12" x14ac:dyDescent="0.3">
      <c r="C77" s="1" t="s">
        <v>20</v>
      </c>
      <c r="D77" s="1">
        <v>-119.4324</v>
      </c>
      <c r="E77" s="1">
        <v>37.261499999999899</v>
      </c>
      <c r="F77" s="1">
        <v>1792.5378000000001</v>
      </c>
      <c r="G77" s="1">
        <v>2.8639999999999999</v>
      </c>
      <c r="H77" s="1">
        <v>1895</v>
      </c>
      <c r="I77" s="1" t="str">
        <f t="shared" si="1"/>
        <v>ADFA</v>
      </c>
      <c r="J77">
        <v>1.62414E-2</v>
      </c>
      <c r="K77">
        <v>-8.2698561601E-3</v>
      </c>
      <c r="L77">
        <v>2.8980599999999999E-2</v>
      </c>
    </row>
    <row r="78" spans="3:12" x14ac:dyDescent="0.3">
      <c r="C78" s="1" t="s">
        <v>21</v>
      </c>
      <c r="D78" s="1">
        <v>-119.4324</v>
      </c>
      <c r="E78" s="1">
        <v>37.261499999999899</v>
      </c>
      <c r="F78" s="1">
        <v>1792.5378000000001</v>
      </c>
      <c r="G78" s="1">
        <v>-1.544</v>
      </c>
      <c r="H78" s="1">
        <v>1895</v>
      </c>
      <c r="I78" s="1" t="str">
        <f t="shared" si="1"/>
        <v>ADSP</v>
      </c>
      <c r="J78">
        <v>1.62414E-2</v>
      </c>
      <c r="K78">
        <v>-8.2698561601E-3</v>
      </c>
      <c r="L78">
        <v>2.8980599999999999E-2</v>
      </c>
    </row>
    <row r="79" spans="3:12" x14ac:dyDescent="0.3">
      <c r="C79" s="1" t="s">
        <v>22</v>
      </c>
      <c r="D79" s="1">
        <v>10.8605</v>
      </c>
      <c r="E79" s="1">
        <v>45.7196</v>
      </c>
      <c r="F79" s="1">
        <v>1367.8629000000001</v>
      </c>
      <c r="G79" s="1">
        <v>10.298</v>
      </c>
      <c r="H79" s="1">
        <v>1989</v>
      </c>
      <c r="I79" s="1" t="str">
        <f t="shared" si="1"/>
        <v>ALGL</v>
      </c>
      <c r="J79">
        <v>5.4095999999999997E-3</v>
      </c>
      <c r="K79">
        <v>-8.6163227016889995E-3</v>
      </c>
      <c r="L79">
        <v>-5.6400000000000002E-5</v>
      </c>
    </row>
    <row r="80" spans="3:12" x14ac:dyDescent="0.3">
      <c r="C80" s="1" t="s">
        <v>22</v>
      </c>
      <c r="D80" s="1">
        <v>10.8605</v>
      </c>
      <c r="E80" s="1">
        <v>45.7196</v>
      </c>
      <c r="F80" s="1">
        <v>1367.8629000000001</v>
      </c>
      <c r="G80" s="1">
        <v>-2.117</v>
      </c>
      <c r="H80" s="1">
        <v>1989</v>
      </c>
      <c r="I80" s="1" t="str">
        <f t="shared" si="1"/>
        <v>ALGL</v>
      </c>
      <c r="J80">
        <v>5.4095999999999997E-3</v>
      </c>
      <c r="K80">
        <v>-8.6163227016889995E-3</v>
      </c>
      <c r="L80">
        <v>-5.6400000000000002E-5</v>
      </c>
    </row>
    <row r="81" spans="3:12" x14ac:dyDescent="0.3">
      <c r="C81" s="1" t="s">
        <v>23</v>
      </c>
      <c r="D81" s="1">
        <v>-119.4324</v>
      </c>
      <c r="E81" s="1">
        <v>37.261499999999899</v>
      </c>
      <c r="F81" s="1">
        <v>1792.5378000000001</v>
      </c>
      <c r="G81" s="1">
        <v>-0.33700000000000002</v>
      </c>
      <c r="H81" s="1">
        <v>1895</v>
      </c>
      <c r="I81" s="1" t="str">
        <f t="shared" si="1"/>
        <v>ALIN</v>
      </c>
      <c r="J81">
        <v>1.62414E-2</v>
      </c>
      <c r="K81">
        <v>-8.2698561601E-3</v>
      </c>
      <c r="L81">
        <v>2.8980599999999999E-2</v>
      </c>
    </row>
    <row r="82" spans="3:12" x14ac:dyDescent="0.3">
      <c r="C82" s="1" t="s">
        <v>23</v>
      </c>
      <c r="D82" s="1">
        <v>-119.4324</v>
      </c>
      <c r="E82" s="1">
        <v>37.261499999999899</v>
      </c>
      <c r="F82" s="1">
        <v>1792.5378000000001</v>
      </c>
      <c r="G82" s="1">
        <v>0.71299999999999997</v>
      </c>
      <c r="H82" s="1">
        <v>1895</v>
      </c>
      <c r="I82" s="1" t="str">
        <f t="shared" si="1"/>
        <v>ALIN</v>
      </c>
      <c r="J82">
        <v>1.62414E-2</v>
      </c>
      <c r="K82">
        <v>-8.2698561601E-3</v>
      </c>
      <c r="L82">
        <v>2.8980599999999999E-2</v>
      </c>
    </row>
    <row r="83" spans="3:12" x14ac:dyDescent="0.3">
      <c r="C83" s="1" t="s">
        <v>22</v>
      </c>
      <c r="D83" s="1">
        <v>-119.4324</v>
      </c>
      <c r="E83" s="1">
        <v>37.261499999999899</v>
      </c>
      <c r="F83" s="1">
        <v>1792.5378000000001</v>
      </c>
      <c r="G83" s="1">
        <v>-0.307</v>
      </c>
      <c r="H83" s="1">
        <v>1895</v>
      </c>
      <c r="I83" s="1" t="str">
        <f t="shared" si="1"/>
        <v>ALGL</v>
      </c>
      <c r="J83">
        <v>1.62414E-2</v>
      </c>
      <c r="K83">
        <v>-8.2698561601E-3</v>
      </c>
      <c r="L83">
        <v>2.8980599999999999E-2</v>
      </c>
    </row>
    <row r="84" spans="3:12" x14ac:dyDescent="0.3">
      <c r="C84" s="1" t="s">
        <v>23</v>
      </c>
      <c r="D84" s="1">
        <v>-119.4324</v>
      </c>
      <c r="E84" s="1">
        <v>37.261499999999899</v>
      </c>
      <c r="F84" s="1">
        <v>1792.5378000000001</v>
      </c>
      <c r="G84" s="1">
        <v>1.157</v>
      </c>
      <c r="H84" s="1">
        <v>1895</v>
      </c>
      <c r="I84" s="1" t="str">
        <f t="shared" si="1"/>
        <v>ALIN</v>
      </c>
      <c r="J84">
        <v>1.62414E-2</v>
      </c>
      <c r="K84">
        <v>-8.2698561601E-3</v>
      </c>
      <c r="L84">
        <v>2.8980599999999999E-2</v>
      </c>
    </row>
    <row r="85" spans="3:12" x14ac:dyDescent="0.3">
      <c r="C85" s="1" t="s">
        <v>22</v>
      </c>
      <c r="D85" s="1">
        <v>13.4633</v>
      </c>
      <c r="E85" s="1">
        <v>48.921500000000002</v>
      </c>
      <c r="F85" s="1">
        <v>869.87121999999999</v>
      </c>
      <c r="G85" s="1">
        <v>0.76600000000000001</v>
      </c>
      <c r="H85" s="1">
        <v>1902</v>
      </c>
      <c r="I85" s="1" t="str">
        <f t="shared" si="1"/>
        <v>ALGL</v>
      </c>
      <c r="J85">
        <v>2.1232E-3</v>
      </c>
      <c r="K85">
        <v>-5.7588805503439998E-2</v>
      </c>
      <c r="L85">
        <v>-0.5666291</v>
      </c>
    </row>
    <row r="86" spans="3:12" x14ac:dyDescent="0.3">
      <c r="C86" s="1" t="s">
        <v>22</v>
      </c>
      <c r="D86" s="1">
        <v>10.8605</v>
      </c>
      <c r="E86" s="1">
        <v>45.7196</v>
      </c>
      <c r="F86" s="1">
        <v>1367.8629000000001</v>
      </c>
      <c r="G86" s="1">
        <v>4.8259999999999996</v>
      </c>
      <c r="H86" s="1">
        <v>1989</v>
      </c>
      <c r="I86" s="1" t="str">
        <f t="shared" si="1"/>
        <v>ALGL</v>
      </c>
      <c r="J86">
        <v>5.4095999999999997E-3</v>
      </c>
      <c r="K86">
        <v>-8.6163227016889995E-3</v>
      </c>
      <c r="L86">
        <v>-5.6400000000000002E-5</v>
      </c>
    </row>
    <row r="87" spans="3:12" x14ac:dyDescent="0.3">
      <c r="C87" s="1" t="s">
        <v>23</v>
      </c>
      <c r="D87" s="1">
        <v>-119.4324</v>
      </c>
      <c r="E87" s="1">
        <v>37.261499999999899</v>
      </c>
      <c r="F87" s="1">
        <v>1792.5378000000001</v>
      </c>
      <c r="G87" s="1">
        <v>4.4390000000000001</v>
      </c>
      <c r="H87" s="1">
        <v>1895</v>
      </c>
      <c r="I87" s="1" t="str">
        <f t="shared" si="1"/>
        <v>ALIN</v>
      </c>
      <c r="J87">
        <v>1.62414E-2</v>
      </c>
      <c r="K87">
        <v>-8.2698561601E-3</v>
      </c>
      <c r="L87">
        <v>2.8980599999999999E-2</v>
      </c>
    </row>
    <row r="88" spans="3:12" x14ac:dyDescent="0.3">
      <c r="C88" s="1" t="s">
        <v>23</v>
      </c>
      <c r="D88" s="1">
        <v>10.8605</v>
      </c>
      <c r="E88" s="1">
        <v>45.7196</v>
      </c>
      <c r="F88" s="1">
        <v>1367.8629000000001</v>
      </c>
      <c r="G88" s="1">
        <v>7.28</v>
      </c>
      <c r="H88" s="1">
        <v>1989</v>
      </c>
      <c r="I88" s="1" t="str">
        <f t="shared" si="1"/>
        <v>ALIN</v>
      </c>
      <c r="J88">
        <v>5.4095999999999997E-3</v>
      </c>
      <c r="K88">
        <v>-8.6163227016889995E-3</v>
      </c>
      <c r="L88">
        <v>-5.6400000000000002E-5</v>
      </c>
    </row>
    <row r="89" spans="3:12" x14ac:dyDescent="0.3">
      <c r="C89" s="1" t="s">
        <v>24</v>
      </c>
      <c r="D89" s="1">
        <v>-119.4324</v>
      </c>
      <c r="E89" s="1">
        <v>37.261499999999899</v>
      </c>
      <c r="F89" s="1">
        <v>1792.5378000000001</v>
      </c>
      <c r="G89" s="1">
        <v>-1.8420000000000001</v>
      </c>
      <c r="H89" s="1">
        <v>1895</v>
      </c>
      <c r="I89" s="1" t="str">
        <f t="shared" si="1"/>
        <v>ALRH</v>
      </c>
      <c r="J89">
        <v>1.62414E-2</v>
      </c>
      <c r="K89">
        <v>-8.2698561601E-3</v>
      </c>
      <c r="L89">
        <v>2.8980599999999999E-2</v>
      </c>
    </row>
    <row r="90" spans="3:12" x14ac:dyDescent="0.3">
      <c r="C90" s="1" t="s">
        <v>25</v>
      </c>
      <c r="D90" s="1">
        <v>-119.4324</v>
      </c>
      <c r="E90" s="1">
        <v>37.261499999999899</v>
      </c>
      <c r="F90" s="1">
        <v>1792.5378000000001</v>
      </c>
      <c r="G90" s="1">
        <v>2.367</v>
      </c>
      <c r="H90" s="1">
        <v>1895</v>
      </c>
      <c r="I90" s="1" t="str">
        <f t="shared" si="1"/>
        <v>ALRU</v>
      </c>
      <c r="J90">
        <v>1.62414E-2</v>
      </c>
      <c r="K90">
        <v>-8.2698561601E-3</v>
      </c>
      <c r="L90">
        <v>2.8980599999999999E-2</v>
      </c>
    </row>
    <row r="91" spans="3:12" x14ac:dyDescent="0.3">
      <c r="C91" s="1" t="s">
        <v>26</v>
      </c>
      <c r="D91" s="1">
        <v>-119.4324</v>
      </c>
      <c r="E91" s="1">
        <v>37.261499999999899</v>
      </c>
      <c r="F91" s="1">
        <v>1792.5378000000001</v>
      </c>
      <c r="G91" s="1">
        <v>0.249</v>
      </c>
      <c r="H91" s="1">
        <v>1895</v>
      </c>
      <c r="I91" s="1" t="str">
        <f t="shared" si="1"/>
        <v>BEPE</v>
      </c>
      <c r="J91">
        <v>1.62414E-2</v>
      </c>
      <c r="K91">
        <v>-8.2698561601E-3</v>
      </c>
      <c r="L91">
        <v>2.8980599999999999E-2</v>
      </c>
    </row>
    <row r="92" spans="3:12" x14ac:dyDescent="0.3">
      <c r="C92" s="1" t="s">
        <v>26</v>
      </c>
      <c r="D92" s="1">
        <v>10.8605</v>
      </c>
      <c r="E92" s="1">
        <v>45.7196</v>
      </c>
      <c r="F92" s="1">
        <v>1367.8629000000001</v>
      </c>
      <c r="G92" s="1">
        <v>0.53100000000000003</v>
      </c>
      <c r="H92" s="1">
        <v>1989</v>
      </c>
      <c r="I92" s="1" t="str">
        <f t="shared" si="1"/>
        <v>BEPE</v>
      </c>
      <c r="J92">
        <v>5.4095999999999997E-3</v>
      </c>
      <c r="K92">
        <v>-8.6163227016889995E-3</v>
      </c>
      <c r="L92">
        <v>-5.6400000000000002E-5</v>
      </c>
    </row>
    <row r="93" spans="3:12" x14ac:dyDescent="0.3">
      <c r="C93" s="1" t="s">
        <v>27</v>
      </c>
      <c r="D93" s="1">
        <v>-119.4324</v>
      </c>
      <c r="E93" s="1">
        <v>37.261499999999899</v>
      </c>
      <c r="F93" s="1">
        <v>1792.5378000000001</v>
      </c>
      <c r="G93" s="1">
        <v>1.7789999999999999</v>
      </c>
      <c r="H93" s="1">
        <v>1895</v>
      </c>
      <c r="I93" s="1" t="str">
        <f t="shared" si="1"/>
        <v>BEOC</v>
      </c>
      <c r="J93">
        <v>1.62414E-2</v>
      </c>
      <c r="K93">
        <v>-8.2698561601E-3</v>
      </c>
      <c r="L93">
        <v>2.8980599999999999E-2</v>
      </c>
    </row>
    <row r="94" spans="3:12" x14ac:dyDescent="0.3">
      <c r="C94" s="1" t="s">
        <v>28</v>
      </c>
      <c r="D94" s="1">
        <v>-71.156700000000001</v>
      </c>
      <c r="E94" s="1">
        <v>45.460099999999898</v>
      </c>
      <c r="F94" s="1">
        <v>901.67474000000004</v>
      </c>
      <c r="G94" s="1">
        <v>1.698</v>
      </c>
      <c r="H94" s="1">
        <v>1970</v>
      </c>
      <c r="I94" s="1" t="str">
        <f t="shared" si="1"/>
        <v>BEPA</v>
      </c>
      <c r="J94">
        <v>6.8230000000000001E-3</v>
      </c>
      <c r="K94">
        <v>1.2881801125703999E-2</v>
      </c>
      <c r="L94">
        <v>0.35348039999999997</v>
      </c>
    </row>
    <row r="95" spans="3:12" x14ac:dyDescent="0.3">
      <c r="C95" s="1" t="s">
        <v>26</v>
      </c>
      <c r="D95" s="1">
        <v>10.8605</v>
      </c>
      <c r="E95" s="1">
        <v>45.7196</v>
      </c>
      <c r="F95" s="1">
        <v>1367.8629000000001</v>
      </c>
      <c r="G95" s="1">
        <v>-0.64400000000000002</v>
      </c>
      <c r="H95" s="1">
        <v>1989</v>
      </c>
      <c r="I95" s="1" t="str">
        <f t="shared" si="1"/>
        <v>BEPE</v>
      </c>
      <c r="J95">
        <v>5.4095999999999997E-3</v>
      </c>
      <c r="K95">
        <v>-8.6163227016889995E-3</v>
      </c>
      <c r="L95">
        <v>-5.6400000000000002E-5</v>
      </c>
    </row>
    <row r="96" spans="3:12" x14ac:dyDescent="0.3">
      <c r="C96" s="1" t="s">
        <v>26</v>
      </c>
      <c r="D96" s="1">
        <v>2.0886</v>
      </c>
      <c r="E96" s="1">
        <v>46.670499999999898</v>
      </c>
      <c r="F96" s="1">
        <v>264.83069</v>
      </c>
      <c r="G96" s="1">
        <v>-0.58599999999999997</v>
      </c>
      <c r="H96" s="1">
        <v>1914</v>
      </c>
      <c r="I96" s="1" t="str">
        <f t="shared" si="1"/>
        <v>BEPE</v>
      </c>
      <c r="J96">
        <v>1.49062E-2</v>
      </c>
      <c r="K96">
        <v>3.8769856160100001E-2</v>
      </c>
      <c r="L96">
        <v>-0.25414009999999998</v>
      </c>
    </row>
    <row r="97" spans="3:12" x14ac:dyDescent="0.3">
      <c r="C97" s="1" t="s">
        <v>26</v>
      </c>
      <c r="D97" s="1">
        <v>2.0886</v>
      </c>
      <c r="E97" s="1">
        <v>46.670499999999898</v>
      </c>
      <c r="F97" s="1">
        <v>264.83069</v>
      </c>
      <c r="G97" s="1">
        <v>-0.14799999999999999</v>
      </c>
      <c r="H97" s="1">
        <v>1914</v>
      </c>
      <c r="I97" s="1" t="str">
        <f t="shared" si="1"/>
        <v>BEPE</v>
      </c>
      <c r="J97">
        <v>1.49062E-2</v>
      </c>
      <c r="K97">
        <v>3.8769856160100001E-2</v>
      </c>
      <c r="L97">
        <v>-0.25414009999999998</v>
      </c>
    </row>
    <row r="98" spans="3:12" x14ac:dyDescent="0.3">
      <c r="C98" s="1" t="s">
        <v>26</v>
      </c>
      <c r="D98" s="1">
        <v>2.0886</v>
      </c>
      <c r="E98" s="1">
        <v>46.670499999999898</v>
      </c>
      <c r="F98" s="1">
        <v>264.83069</v>
      </c>
      <c r="G98" s="1">
        <v>2.069</v>
      </c>
      <c r="H98" s="1">
        <v>1914</v>
      </c>
      <c r="I98" s="1" t="str">
        <f t="shared" si="1"/>
        <v>BEPE</v>
      </c>
      <c r="J98">
        <v>1.49062E-2</v>
      </c>
      <c r="K98">
        <v>3.8769856160100001E-2</v>
      </c>
      <c r="L98">
        <v>-0.25414009999999998</v>
      </c>
    </row>
    <row r="99" spans="3:12" x14ac:dyDescent="0.3">
      <c r="C99" s="1" t="s">
        <v>26</v>
      </c>
      <c r="D99" s="1">
        <v>13.4633</v>
      </c>
      <c r="E99" s="1">
        <v>48.921500000000002</v>
      </c>
      <c r="F99" s="1">
        <v>869.87121999999999</v>
      </c>
      <c r="G99" s="1">
        <v>2.258</v>
      </c>
      <c r="H99" s="1">
        <v>1902</v>
      </c>
      <c r="I99" s="1" t="str">
        <f t="shared" si="1"/>
        <v>BEPE</v>
      </c>
      <c r="J99">
        <v>2.1232E-3</v>
      </c>
      <c r="K99">
        <v>-5.7588805503439998E-2</v>
      </c>
      <c r="L99">
        <v>-0.5666291</v>
      </c>
    </row>
    <row r="100" spans="3:12" x14ac:dyDescent="0.3">
      <c r="C100" s="1" t="s">
        <v>26</v>
      </c>
      <c r="D100" s="1">
        <v>7.0965499999999997</v>
      </c>
      <c r="E100" s="1">
        <v>43.006549999999997</v>
      </c>
      <c r="F100" s="1" t="s">
        <v>112</v>
      </c>
      <c r="G100" s="1">
        <v>7.6429999999999998</v>
      </c>
      <c r="H100" s="1">
        <v>1981</v>
      </c>
      <c r="I100" s="1" t="str">
        <f t="shared" si="1"/>
        <v>BEPE</v>
      </c>
      <c r="J100" t="s">
        <v>112</v>
      </c>
      <c r="K100" t="s">
        <v>112</v>
      </c>
      <c r="L100" t="s">
        <v>112</v>
      </c>
    </row>
    <row r="101" spans="3:12" x14ac:dyDescent="0.3">
      <c r="C101" s="1" t="s">
        <v>29</v>
      </c>
      <c r="D101" s="1">
        <v>-121.3335</v>
      </c>
      <c r="E101" s="1">
        <v>38.500700000000002</v>
      </c>
      <c r="F101" s="1">
        <v>17.796066</v>
      </c>
      <c r="G101" s="1">
        <v>-1.127</v>
      </c>
      <c r="H101" s="1">
        <v>1930</v>
      </c>
      <c r="I101" s="1" t="str">
        <f t="shared" si="1"/>
        <v>CADE</v>
      </c>
      <c r="J101">
        <v>7.2951999999999999E-3</v>
      </c>
      <c r="K101">
        <v>4.4734208880549998E-3</v>
      </c>
      <c r="L101">
        <v>3.0206E-3</v>
      </c>
    </row>
    <row r="102" spans="3:12" x14ac:dyDescent="0.3">
      <c r="C102" s="1" t="s">
        <v>29</v>
      </c>
      <c r="D102" s="1">
        <v>-119.4324</v>
      </c>
      <c r="E102" s="1">
        <v>37.261499999999899</v>
      </c>
      <c r="F102" s="1">
        <v>1792.5378000000001</v>
      </c>
      <c r="G102" s="1">
        <v>-0.72899999999999998</v>
      </c>
      <c r="H102" s="1">
        <v>1895</v>
      </c>
      <c r="I102" s="1" t="str">
        <f t="shared" si="1"/>
        <v>CADE</v>
      </c>
      <c r="J102">
        <v>1.62414E-2</v>
      </c>
      <c r="K102">
        <v>-8.2698561601E-3</v>
      </c>
      <c r="L102">
        <v>2.8980599999999999E-2</v>
      </c>
    </row>
    <row r="103" spans="3:12" x14ac:dyDescent="0.3">
      <c r="C103" s="1" t="s">
        <v>29</v>
      </c>
      <c r="D103" s="1">
        <v>-120.3503</v>
      </c>
      <c r="E103" s="1">
        <v>39.061799999999899</v>
      </c>
      <c r="F103" s="1">
        <v>1967.6869999999999</v>
      </c>
      <c r="G103" s="1">
        <v>0</v>
      </c>
      <c r="H103" s="1">
        <v>1934</v>
      </c>
      <c r="I103" s="1" t="str">
        <f t="shared" si="1"/>
        <v>CADE</v>
      </c>
      <c r="J103">
        <v>1.9990600000000001E-2</v>
      </c>
      <c r="K103">
        <v>-3.4824577861162997E-2</v>
      </c>
      <c r="L103">
        <v>5.3423999999999999E-2</v>
      </c>
    </row>
    <row r="104" spans="3:12" x14ac:dyDescent="0.3">
      <c r="C104" s="1" t="s">
        <v>29</v>
      </c>
      <c r="D104" s="1">
        <v>11.3355999999999</v>
      </c>
      <c r="E104" s="1">
        <v>46.9102999999999</v>
      </c>
      <c r="F104" s="1">
        <v>1793.2164</v>
      </c>
      <c r="G104" s="1">
        <v>-3.383</v>
      </c>
      <c r="H104" s="1">
        <v>1970</v>
      </c>
      <c r="I104" s="1" t="str">
        <f t="shared" si="1"/>
        <v>CADE</v>
      </c>
      <c r="J104">
        <v>9.7248000000000005E-3</v>
      </c>
      <c r="K104">
        <v>2.1035021888679999E-3</v>
      </c>
      <c r="L104">
        <v>-0.1200251</v>
      </c>
    </row>
    <row r="105" spans="3:12" x14ac:dyDescent="0.3">
      <c r="C105" s="1" t="s">
        <v>29</v>
      </c>
      <c r="D105" s="1">
        <v>11.3355999999999</v>
      </c>
      <c r="E105" s="1">
        <v>46.9102999999999</v>
      </c>
      <c r="F105" s="1">
        <v>1793.2164</v>
      </c>
      <c r="G105" s="1">
        <v>-0.72299999999999998</v>
      </c>
      <c r="H105" s="1">
        <v>1970</v>
      </c>
      <c r="I105" s="1" t="str">
        <f t="shared" si="1"/>
        <v>CADE</v>
      </c>
      <c r="J105">
        <v>9.7248000000000005E-3</v>
      </c>
      <c r="K105">
        <v>2.1035021888679999E-3</v>
      </c>
      <c r="L105">
        <v>-0.1200251</v>
      </c>
    </row>
    <row r="106" spans="3:12" x14ac:dyDescent="0.3">
      <c r="C106" s="1" t="s">
        <v>29</v>
      </c>
      <c r="D106" s="1">
        <v>11.3355999999999</v>
      </c>
      <c r="E106" s="1">
        <v>46.9102999999999</v>
      </c>
      <c r="F106" s="1">
        <v>1793.2164</v>
      </c>
      <c r="G106" s="1">
        <v>0</v>
      </c>
      <c r="H106" s="1">
        <v>1970</v>
      </c>
      <c r="I106" s="1" t="str">
        <f t="shared" si="1"/>
        <v>CADE</v>
      </c>
      <c r="J106">
        <v>9.7248000000000005E-3</v>
      </c>
      <c r="K106">
        <v>2.1035021888679999E-3</v>
      </c>
      <c r="L106">
        <v>-0.1200251</v>
      </c>
    </row>
    <row r="107" spans="3:12" x14ac:dyDescent="0.3">
      <c r="C107" s="1" t="s">
        <v>29</v>
      </c>
      <c r="D107" s="1">
        <v>10.8605</v>
      </c>
      <c r="E107" s="1">
        <v>45.7196</v>
      </c>
      <c r="F107" s="1">
        <v>1367.8629000000001</v>
      </c>
      <c r="G107" s="1">
        <v>4.0629999999999997</v>
      </c>
      <c r="H107" s="1">
        <v>1989</v>
      </c>
      <c r="I107" s="1" t="str">
        <f t="shared" si="1"/>
        <v>CADE</v>
      </c>
      <c r="J107">
        <v>5.4095999999999997E-3</v>
      </c>
      <c r="K107">
        <v>-8.6163227016889995E-3</v>
      </c>
      <c r="L107">
        <v>-5.6400000000000002E-5</v>
      </c>
    </row>
    <row r="108" spans="3:12" x14ac:dyDescent="0.3">
      <c r="C108" s="1" t="s">
        <v>29</v>
      </c>
      <c r="D108" s="1">
        <v>-119.4324</v>
      </c>
      <c r="E108" s="1">
        <v>37.261499999999899</v>
      </c>
      <c r="F108" s="1">
        <v>1792.5378000000001</v>
      </c>
      <c r="G108" s="1">
        <v>4.8949999999999996</v>
      </c>
      <c r="H108" s="1">
        <v>1895</v>
      </c>
      <c r="I108" s="1" t="str">
        <f t="shared" si="1"/>
        <v>CADE</v>
      </c>
      <c r="J108">
        <v>1.62414E-2</v>
      </c>
      <c r="K108">
        <v>-8.2698561601E-3</v>
      </c>
      <c r="L108">
        <v>2.8980599999999999E-2</v>
      </c>
    </row>
    <row r="109" spans="3:12" x14ac:dyDescent="0.3">
      <c r="C109" s="1" t="s">
        <v>30</v>
      </c>
      <c r="D109" s="1">
        <v>2.0886</v>
      </c>
      <c r="E109" s="1">
        <v>46.670499999999898</v>
      </c>
      <c r="F109" s="1">
        <v>264.83069</v>
      </c>
      <c r="G109" s="1">
        <v>-0.41399999999999998</v>
      </c>
      <c r="H109" s="1">
        <v>1914</v>
      </c>
      <c r="I109" s="1" t="str">
        <f t="shared" si="1"/>
        <v>CABE</v>
      </c>
      <c r="J109">
        <v>1.49062E-2</v>
      </c>
      <c r="K109">
        <v>3.8769856160100001E-2</v>
      </c>
      <c r="L109">
        <v>-0.25414009999999998</v>
      </c>
    </row>
    <row r="110" spans="3:12" x14ac:dyDescent="0.3">
      <c r="C110" s="1" t="s">
        <v>30</v>
      </c>
      <c r="D110" s="1">
        <v>19.6858</v>
      </c>
      <c r="E110" s="1">
        <v>48.844700000000003</v>
      </c>
      <c r="F110" s="1">
        <v>701.47131000000002</v>
      </c>
      <c r="G110" s="1">
        <v>-0.217</v>
      </c>
      <c r="H110" s="1">
        <v>1966</v>
      </c>
      <c r="I110" s="1" t="str">
        <f t="shared" si="1"/>
        <v>CABE</v>
      </c>
      <c r="J110">
        <v>-1.7639100000000001E-2</v>
      </c>
      <c r="K110">
        <v>-3.2774233896185001E-2</v>
      </c>
      <c r="L110">
        <v>-0.5645559</v>
      </c>
    </row>
    <row r="111" spans="3:12" x14ac:dyDescent="0.3">
      <c r="C111" s="1" t="s">
        <v>30</v>
      </c>
      <c r="D111" s="1">
        <v>19.6858</v>
      </c>
      <c r="E111" s="1">
        <v>48.844700000000003</v>
      </c>
      <c r="F111" s="1">
        <v>701.47131000000002</v>
      </c>
      <c r="G111" s="1">
        <v>-1.2E-2</v>
      </c>
      <c r="H111" s="1">
        <v>1966</v>
      </c>
      <c r="I111" s="1" t="str">
        <f t="shared" si="1"/>
        <v>CABE</v>
      </c>
      <c r="J111">
        <v>-1.7639100000000001E-2</v>
      </c>
      <c r="K111">
        <v>-3.2774233896185001E-2</v>
      </c>
      <c r="L111">
        <v>-0.5645559</v>
      </c>
    </row>
    <row r="112" spans="3:12" x14ac:dyDescent="0.3">
      <c r="C112" s="1" t="s">
        <v>30</v>
      </c>
      <c r="D112" s="1">
        <v>2.0886</v>
      </c>
      <c r="E112" s="1">
        <v>46.670499999999898</v>
      </c>
      <c r="F112" s="1">
        <v>264.83069</v>
      </c>
      <c r="G112" s="1">
        <v>2.4E-2</v>
      </c>
      <c r="H112" s="1">
        <v>1914</v>
      </c>
      <c r="I112" s="1" t="str">
        <f t="shared" si="1"/>
        <v>CABE</v>
      </c>
      <c r="J112">
        <v>1.49062E-2</v>
      </c>
      <c r="K112">
        <v>3.8769856160100001E-2</v>
      </c>
      <c r="L112">
        <v>-0.25414009999999998</v>
      </c>
    </row>
    <row r="113" spans="3:12" x14ac:dyDescent="0.3">
      <c r="C113" s="1" t="s">
        <v>30</v>
      </c>
      <c r="D113" s="1">
        <v>2.0886</v>
      </c>
      <c r="E113" s="1">
        <v>46.670499999999898</v>
      </c>
      <c r="F113" s="1">
        <v>264.83069</v>
      </c>
      <c r="G113" s="1">
        <v>0.10299999999999999</v>
      </c>
      <c r="H113" s="1">
        <v>1914</v>
      </c>
      <c r="I113" s="1" t="str">
        <f t="shared" si="1"/>
        <v>CABE</v>
      </c>
      <c r="J113">
        <v>1.49062E-2</v>
      </c>
      <c r="K113">
        <v>3.8769856160100001E-2</v>
      </c>
      <c r="L113">
        <v>-0.25414009999999998</v>
      </c>
    </row>
    <row r="114" spans="3:12" x14ac:dyDescent="0.3">
      <c r="C114" s="1" t="s">
        <v>30</v>
      </c>
      <c r="D114" s="1">
        <v>19.6858</v>
      </c>
      <c r="E114" s="1">
        <v>48.844700000000003</v>
      </c>
      <c r="F114" s="1">
        <v>701.47131000000002</v>
      </c>
      <c r="G114" s="1">
        <v>0.59399999999999997</v>
      </c>
      <c r="H114" s="1">
        <v>1966</v>
      </c>
      <c r="I114" s="1" t="str">
        <f t="shared" si="1"/>
        <v>CABE</v>
      </c>
      <c r="J114">
        <v>-1.7639100000000001E-2</v>
      </c>
      <c r="K114">
        <v>-3.2774233896185001E-2</v>
      </c>
      <c r="L114">
        <v>-0.5645559</v>
      </c>
    </row>
    <row r="115" spans="3:12" x14ac:dyDescent="0.3">
      <c r="C115" s="1" t="s">
        <v>30</v>
      </c>
      <c r="D115" s="1">
        <v>5.3539166666666702</v>
      </c>
      <c r="E115" s="1">
        <v>45.007733333333299</v>
      </c>
      <c r="F115" s="1">
        <v>761.62267999999995</v>
      </c>
      <c r="G115" s="1">
        <v>1.3009999999999999</v>
      </c>
      <c r="H115" s="1">
        <v>1905</v>
      </c>
      <c r="I115" s="1" t="str">
        <f t="shared" si="1"/>
        <v>CABE</v>
      </c>
      <c r="J115">
        <v>1.3298900000000001E-2</v>
      </c>
      <c r="K115">
        <v>-1.2570981863665001E-2</v>
      </c>
      <c r="L115">
        <v>-0.61279859999999997</v>
      </c>
    </row>
    <row r="116" spans="3:12" x14ac:dyDescent="0.3">
      <c r="C116" s="1" t="s">
        <v>30</v>
      </c>
      <c r="D116" s="1">
        <v>10.8605</v>
      </c>
      <c r="E116" s="1">
        <v>45.7196</v>
      </c>
      <c r="F116" s="1">
        <v>1367.8629000000001</v>
      </c>
      <c r="G116" s="1">
        <v>2.3359999999999999</v>
      </c>
      <c r="H116" s="1">
        <v>1989</v>
      </c>
      <c r="I116" s="1" t="str">
        <f t="shared" si="1"/>
        <v>CABE</v>
      </c>
      <c r="J116">
        <v>5.4095999999999997E-3</v>
      </c>
      <c r="K116">
        <v>-8.6163227016889995E-3</v>
      </c>
      <c r="L116">
        <v>-5.6400000000000002E-5</v>
      </c>
    </row>
    <row r="117" spans="3:12" x14ac:dyDescent="0.3">
      <c r="C117" s="1" t="s">
        <v>29</v>
      </c>
      <c r="D117" s="1">
        <v>-119.4324</v>
      </c>
      <c r="E117" s="1">
        <v>37.261499999999899</v>
      </c>
      <c r="F117" s="1">
        <v>1792.5378000000001</v>
      </c>
      <c r="G117" s="1">
        <v>-7.3860000000000001</v>
      </c>
      <c r="H117" s="1">
        <v>1895</v>
      </c>
      <c r="I117" s="1" t="str">
        <f t="shared" si="1"/>
        <v>CADE</v>
      </c>
      <c r="J117">
        <v>1.62414E-2</v>
      </c>
      <c r="K117">
        <v>-8.2698561601E-3</v>
      </c>
      <c r="L117">
        <v>2.8980599999999999E-2</v>
      </c>
    </row>
    <row r="118" spans="3:12" x14ac:dyDescent="0.3">
      <c r="C118" s="1" t="s">
        <v>29</v>
      </c>
      <c r="D118" s="1">
        <v>-119.4324</v>
      </c>
      <c r="E118" s="1">
        <v>37.261499999999899</v>
      </c>
      <c r="F118" s="1">
        <v>1792.5378000000001</v>
      </c>
      <c r="G118" s="1">
        <v>2.54</v>
      </c>
      <c r="H118" s="1">
        <v>1895</v>
      </c>
      <c r="I118" s="1" t="str">
        <f t="shared" si="1"/>
        <v>CADE</v>
      </c>
      <c r="J118">
        <v>1.62414E-2</v>
      </c>
      <c r="K118">
        <v>-8.2698561601E-3</v>
      </c>
      <c r="L118">
        <v>2.8980599999999999E-2</v>
      </c>
    </row>
    <row r="119" spans="3:12" x14ac:dyDescent="0.3">
      <c r="C119" s="1" t="s">
        <v>29</v>
      </c>
      <c r="D119" s="1">
        <v>-119.4324</v>
      </c>
      <c r="E119" s="1">
        <v>37.261499999999899</v>
      </c>
      <c r="F119" s="1">
        <v>1792.5378000000001</v>
      </c>
      <c r="G119" s="1">
        <v>4.5380000000000003</v>
      </c>
      <c r="H119" s="1">
        <v>1895</v>
      </c>
      <c r="I119" s="1" t="str">
        <f t="shared" si="1"/>
        <v>CADE</v>
      </c>
      <c r="J119">
        <v>1.62414E-2</v>
      </c>
      <c r="K119">
        <v>-8.2698561601E-3</v>
      </c>
      <c r="L119">
        <v>2.8980599999999999E-2</v>
      </c>
    </row>
    <row r="120" spans="3:12" x14ac:dyDescent="0.3">
      <c r="C120" s="1" t="s">
        <v>31</v>
      </c>
      <c r="D120" s="1">
        <v>7.0965499999999997</v>
      </c>
      <c r="E120" s="1">
        <v>43.006549999999997</v>
      </c>
      <c r="F120" s="1" t="s">
        <v>112</v>
      </c>
      <c r="G120" s="1">
        <v>0.42899999999999999</v>
      </c>
      <c r="H120" s="1">
        <v>1981</v>
      </c>
      <c r="I120" s="1" t="str">
        <f t="shared" si="1"/>
        <v>CEAT</v>
      </c>
      <c r="J120" t="s">
        <v>112</v>
      </c>
      <c r="K120" t="s">
        <v>112</v>
      </c>
      <c r="L120" t="s">
        <v>112</v>
      </c>
    </row>
    <row r="121" spans="3:12" x14ac:dyDescent="0.3">
      <c r="C121" s="1" t="s">
        <v>32</v>
      </c>
      <c r="D121" s="1">
        <v>-119.4324</v>
      </c>
      <c r="E121" s="1">
        <v>37.261499999999899</v>
      </c>
      <c r="F121" s="1">
        <v>1792.5378000000001</v>
      </c>
      <c r="G121" s="1">
        <v>5.0449999999999999</v>
      </c>
      <c r="H121" s="1">
        <v>1895</v>
      </c>
      <c r="I121" s="1" t="str">
        <f t="shared" si="1"/>
        <v>CEBE</v>
      </c>
      <c r="J121">
        <v>1.62414E-2</v>
      </c>
      <c r="K121">
        <v>-8.2698561601E-3</v>
      </c>
      <c r="L121">
        <v>2.8980599999999999E-2</v>
      </c>
    </row>
    <row r="122" spans="3:12" x14ac:dyDescent="0.3">
      <c r="C122" s="1" t="s">
        <v>32</v>
      </c>
      <c r="D122" s="1">
        <v>-119.4324</v>
      </c>
      <c r="E122" s="1">
        <v>37.261499999999899</v>
      </c>
      <c r="F122" s="1">
        <v>1792.5378000000001</v>
      </c>
      <c r="G122" s="1">
        <v>2.242</v>
      </c>
      <c r="H122" s="1">
        <v>1895</v>
      </c>
      <c r="I122" s="1" t="str">
        <f t="shared" si="1"/>
        <v>CEBE</v>
      </c>
      <c r="J122">
        <v>1.62414E-2</v>
      </c>
      <c r="K122">
        <v>-8.2698561601E-3</v>
      </c>
      <c r="L122">
        <v>2.8980599999999999E-2</v>
      </c>
    </row>
    <row r="123" spans="3:12" x14ac:dyDescent="0.3">
      <c r="C123" s="1" t="s">
        <v>32</v>
      </c>
      <c r="D123" s="1">
        <v>-119.4324</v>
      </c>
      <c r="E123" s="1">
        <v>37.261499999999899</v>
      </c>
      <c r="F123" s="1">
        <v>1792.5378000000001</v>
      </c>
      <c r="G123" s="1">
        <v>2.552</v>
      </c>
      <c r="H123" s="1">
        <v>1895</v>
      </c>
      <c r="I123" s="1" t="str">
        <f t="shared" si="1"/>
        <v>CEBE</v>
      </c>
      <c r="J123">
        <v>1.62414E-2</v>
      </c>
      <c r="K123">
        <v>-8.2698561601E-3</v>
      </c>
      <c r="L123">
        <v>2.8980599999999999E-2</v>
      </c>
    </row>
    <row r="124" spans="3:12" x14ac:dyDescent="0.3">
      <c r="C124" s="1" t="s">
        <v>33</v>
      </c>
      <c r="D124" s="1">
        <v>-119.4324</v>
      </c>
      <c r="E124" s="1">
        <v>37.261499999999899</v>
      </c>
      <c r="F124" s="1">
        <v>1792.5378000000001</v>
      </c>
      <c r="G124" s="1">
        <v>0.85199999999999998</v>
      </c>
      <c r="H124" s="1">
        <v>1895</v>
      </c>
      <c r="I124" s="1" t="str">
        <f t="shared" si="1"/>
        <v>CHLA</v>
      </c>
      <c r="J124">
        <v>1.62414E-2</v>
      </c>
      <c r="K124">
        <v>-8.2698561601E-3</v>
      </c>
      <c r="L124">
        <v>2.8980599999999999E-2</v>
      </c>
    </row>
    <row r="125" spans="3:12" x14ac:dyDescent="0.3">
      <c r="C125" s="1" t="s">
        <v>34</v>
      </c>
      <c r="D125" s="1">
        <v>10.8605</v>
      </c>
      <c r="E125" s="1">
        <v>45.7196</v>
      </c>
      <c r="F125" s="1">
        <v>1367.8629000000001</v>
      </c>
      <c r="G125" t="s">
        <v>112</v>
      </c>
      <c r="H125" s="1">
        <v>1989</v>
      </c>
      <c r="I125" s="1" t="str">
        <f t="shared" si="1"/>
        <v>CUSE</v>
      </c>
      <c r="J125">
        <v>5.4095999999999997E-3</v>
      </c>
      <c r="K125">
        <v>-8.6163227016889995E-3</v>
      </c>
      <c r="L125">
        <v>-5.6400000000000002E-5</v>
      </c>
    </row>
    <row r="126" spans="3:12" x14ac:dyDescent="0.3">
      <c r="C126" s="1" t="s">
        <v>35</v>
      </c>
      <c r="D126" s="1">
        <v>-119.4324</v>
      </c>
      <c r="E126" s="1">
        <v>37.261499999999899</v>
      </c>
      <c r="F126" s="1">
        <v>1792.5378000000001</v>
      </c>
      <c r="G126" s="1">
        <v>3.6579999999999999</v>
      </c>
      <c r="H126" s="1">
        <v>1895</v>
      </c>
      <c r="I126" s="1" t="str">
        <f t="shared" si="1"/>
        <v>EUCA</v>
      </c>
      <c r="J126">
        <v>1.62414E-2</v>
      </c>
      <c r="K126">
        <v>-8.2698561601E-3</v>
      </c>
      <c r="L126">
        <v>2.8980599999999999E-2</v>
      </c>
    </row>
    <row r="127" spans="3:12" x14ac:dyDescent="0.3">
      <c r="C127" s="1" t="s">
        <v>36</v>
      </c>
      <c r="D127" s="1">
        <v>-119.4324</v>
      </c>
      <c r="E127" s="1">
        <v>37.261499999999899</v>
      </c>
      <c r="F127" s="1">
        <v>1792.5378000000001</v>
      </c>
      <c r="G127" s="1">
        <v>3.2810000000000001</v>
      </c>
      <c r="H127" s="1">
        <v>1895</v>
      </c>
      <c r="I127" s="1" t="str">
        <f t="shared" si="1"/>
        <v>EUGL</v>
      </c>
      <c r="J127">
        <v>1.62414E-2</v>
      </c>
      <c r="K127">
        <v>-8.2698561601E-3</v>
      </c>
      <c r="L127">
        <v>2.8980599999999999E-2</v>
      </c>
    </row>
    <row r="128" spans="3:12" x14ac:dyDescent="0.3">
      <c r="C128" s="1" t="s">
        <v>35</v>
      </c>
      <c r="D128" s="1">
        <v>-119.4324</v>
      </c>
      <c r="E128" s="1">
        <v>37.261499999999899</v>
      </c>
      <c r="F128" s="1">
        <v>1792.5378000000001</v>
      </c>
      <c r="G128" s="1">
        <v>0.17499999999999999</v>
      </c>
      <c r="H128" s="1">
        <v>1895</v>
      </c>
      <c r="I128" s="1" t="str">
        <f t="shared" si="1"/>
        <v>EUCA</v>
      </c>
      <c r="J128">
        <v>1.62414E-2</v>
      </c>
      <c r="K128">
        <v>-8.2698561601E-3</v>
      </c>
      <c r="L128">
        <v>2.8980599999999999E-2</v>
      </c>
    </row>
    <row r="129" spans="3:12" x14ac:dyDescent="0.3">
      <c r="C129" s="1" t="s">
        <v>35</v>
      </c>
      <c r="D129" s="1">
        <v>10.8605</v>
      </c>
      <c r="E129" s="1">
        <v>45.7196</v>
      </c>
      <c r="F129" s="1">
        <v>1367.8629000000001</v>
      </c>
      <c r="G129" s="1">
        <v>0.51</v>
      </c>
      <c r="H129" s="1">
        <v>1989</v>
      </c>
      <c r="I129" s="1" t="str">
        <f t="shared" si="1"/>
        <v>EUCA</v>
      </c>
      <c r="J129">
        <v>5.4095999999999997E-3</v>
      </c>
      <c r="K129">
        <v>-8.6163227016889995E-3</v>
      </c>
      <c r="L129">
        <v>-5.6400000000000002E-5</v>
      </c>
    </row>
    <row r="130" spans="3:12" x14ac:dyDescent="0.3">
      <c r="C130" s="1" t="s">
        <v>35</v>
      </c>
      <c r="D130" s="1">
        <v>10.8605</v>
      </c>
      <c r="E130" s="1">
        <v>45.7196</v>
      </c>
      <c r="F130" s="1">
        <v>1367.8629000000001</v>
      </c>
      <c r="G130" s="1">
        <v>4.6459999999999999</v>
      </c>
      <c r="H130" s="1">
        <v>1989</v>
      </c>
      <c r="I130" s="1" t="str">
        <f t="shared" si="1"/>
        <v>EUCA</v>
      </c>
      <c r="J130">
        <v>5.4095999999999997E-3</v>
      </c>
      <c r="K130">
        <v>-8.6163227016889995E-3</v>
      </c>
      <c r="L130">
        <v>-5.6400000000000002E-5</v>
      </c>
    </row>
    <row r="131" spans="3:12" x14ac:dyDescent="0.3">
      <c r="C131" s="1" t="s">
        <v>37</v>
      </c>
      <c r="D131" s="1">
        <v>0.92149999999999999</v>
      </c>
      <c r="E131" s="1">
        <v>42.328499999999899</v>
      </c>
      <c r="F131" s="1">
        <v>953.21105999999997</v>
      </c>
      <c r="G131" s="1">
        <v>-3.0910000000000002</v>
      </c>
      <c r="H131" s="1">
        <v>1986</v>
      </c>
      <c r="I131" s="1" t="str">
        <f t="shared" si="1"/>
        <v>FASY</v>
      </c>
      <c r="J131">
        <v>1.85022E-2</v>
      </c>
      <c r="K131">
        <v>-6.2043464665416E-2</v>
      </c>
      <c r="L131">
        <v>-0.70604440000000002</v>
      </c>
    </row>
    <row r="132" spans="3:12" x14ac:dyDescent="0.3">
      <c r="C132" s="1" t="s">
        <v>37</v>
      </c>
      <c r="D132" s="1">
        <v>19.6858</v>
      </c>
      <c r="E132" s="1">
        <v>48.844700000000003</v>
      </c>
      <c r="F132" s="1">
        <v>701.47131000000002</v>
      </c>
      <c r="G132" s="1">
        <v>-0.65200000000000002</v>
      </c>
      <c r="H132" s="1">
        <v>1966</v>
      </c>
      <c r="I132" s="1" t="str">
        <f t="shared" ref="I132:I195" si="2">RIGHT(LEFT(C132,5),4)</f>
        <v>FASY</v>
      </c>
      <c r="J132">
        <v>-1.7639100000000001E-2</v>
      </c>
      <c r="K132">
        <v>-3.2774233896185001E-2</v>
      </c>
      <c r="L132">
        <v>-0.5645559</v>
      </c>
    </row>
    <row r="133" spans="3:12" x14ac:dyDescent="0.3">
      <c r="C133" s="1" t="s">
        <v>37</v>
      </c>
      <c r="D133" s="1">
        <v>2.0886</v>
      </c>
      <c r="E133" s="1">
        <v>46.670499999999898</v>
      </c>
      <c r="F133" s="1">
        <v>264.83069</v>
      </c>
      <c r="G133" s="1">
        <v>-0.51700000000000002</v>
      </c>
      <c r="H133" s="1">
        <v>1914</v>
      </c>
      <c r="I133" s="1" t="str">
        <f t="shared" si="2"/>
        <v>FASY</v>
      </c>
      <c r="J133">
        <v>1.49062E-2</v>
      </c>
      <c r="K133">
        <v>3.8769856160100001E-2</v>
      </c>
      <c r="L133">
        <v>-0.25414009999999998</v>
      </c>
    </row>
    <row r="134" spans="3:12" x14ac:dyDescent="0.3">
      <c r="C134" s="1" t="s">
        <v>37</v>
      </c>
      <c r="D134" s="1">
        <v>19.6858</v>
      </c>
      <c r="E134" s="1">
        <v>48.844700000000003</v>
      </c>
      <c r="F134" s="1">
        <v>701.47131000000002</v>
      </c>
      <c r="G134" s="1">
        <v>-0.30099999999999999</v>
      </c>
      <c r="H134" s="1">
        <v>1966</v>
      </c>
      <c r="I134" s="1" t="str">
        <f t="shared" si="2"/>
        <v>FASY</v>
      </c>
      <c r="J134">
        <v>-1.7639100000000001E-2</v>
      </c>
      <c r="K134">
        <v>-3.2774233896185001E-2</v>
      </c>
      <c r="L134">
        <v>-0.5645559</v>
      </c>
    </row>
    <row r="135" spans="3:12" x14ac:dyDescent="0.3">
      <c r="C135" s="1" t="s">
        <v>37</v>
      </c>
      <c r="D135" s="1">
        <v>2.0886</v>
      </c>
      <c r="E135" s="1">
        <v>46.670499999999898</v>
      </c>
      <c r="F135" s="1">
        <v>264.83069</v>
      </c>
      <c r="G135" s="1">
        <v>-0.23400000000000001</v>
      </c>
      <c r="H135" s="1">
        <v>1914</v>
      </c>
      <c r="I135" s="1" t="str">
        <f t="shared" si="2"/>
        <v>FASY</v>
      </c>
      <c r="J135">
        <v>1.49062E-2</v>
      </c>
      <c r="K135">
        <v>3.8769856160100001E-2</v>
      </c>
      <c r="L135">
        <v>-0.25414009999999998</v>
      </c>
    </row>
    <row r="136" spans="3:12" x14ac:dyDescent="0.3">
      <c r="C136" s="1" t="s">
        <v>37</v>
      </c>
      <c r="D136" s="1">
        <v>19.6858</v>
      </c>
      <c r="E136" s="1">
        <v>48.844700000000003</v>
      </c>
      <c r="F136" s="1">
        <v>701.47131000000002</v>
      </c>
      <c r="G136" s="1">
        <v>-0.17399999999999999</v>
      </c>
      <c r="H136" s="1">
        <v>1966</v>
      </c>
      <c r="I136" s="1" t="str">
        <f t="shared" si="2"/>
        <v>FASY</v>
      </c>
      <c r="J136">
        <v>-1.7639100000000001E-2</v>
      </c>
      <c r="K136">
        <v>-3.2774233896185001E-2</v>
      </c>
      <c r="L136">
        <v>-0.5645559</v>
      </c>
    </row>
    <row r="137" spans="3:12" x14ac:dyDescent="0.3">
      <c r="C137" s="1" t="s">
        <v>37</v>
      </c>
      <c r="D137" s="1">
        <v>-1.7858000000000001</v>
      </c>
      <c r="E137" s="1">
        <v>40.956000000000003</v>
      </c>
      <c r="F137" s="1">
        <v>1084.1304</v>
      </c>
      <c r="G137" s="1">
        <v>-9.0999999999999998E-2</v>
      </c>
      <c r="H137" s="1">
        <v>1986</v>
      </c>
      <c r="I137" s="1" t="str">
        <f t="shared" si="2"/>
        <v>FASY</v>
      </c>
      <c r="J137">
        <v>2.3208300000000001E-2</v>
      </c>
      <c r="K137">
        <v>-5.7681050656660002E-2</v>
      </c>
      <c r="L137">
        <v>-6.4011899999999997E-2</v>
      </c>
    </row>
    <row r="138" spans="3:12" x14ac:dyDescent="0.3">
      <c r="C138" s="1" t="s">
        <v>37</v>
      </c>
      <c r="D138" s="1">
        <v>2.0886</v>
      </c>
      <c r="E138" s="1">
        <v>46.670499999999898</v>
      </c>
      <c r="F138" s="1">
        <v>264.83069</v>
      </c>
      <c r="G138" s="1">
        <v>-3.4000000000000002E-2</v>
      </c>
      <c r="H138" s="1">
        <v>1914</v>
      </c>
      <c r="I138" s="1" t="str">
        <f t="shared" si="2"/>
        <v>FASY</v>
      </c>
      <c r="J138">
        <v>1.49062E-2</v>
      </c>
      <c r="K138">
        <v>3.8769856160100001E-2</v>
      </c>
      <c r="L138">
        <v>-0.25414009999999998</v>
      </c>
    </row>
    <row r="139" spans="3:12" x14ac:dyDescent="0.3">
      <c r="C139" s="1" t="s">
        <v>37</v>
      </c>
      <c r="D139" s="1">
        <v>7.0965499999999997</v>
      </c>
      <c r="E139" s="1">
        <v>43.006549999999997</v>
      </c>
      <c r="F139" s="1" t="s">
        <v>112</v>
      </c>
      <c r="G139" s="1">
        <v>0.28599999999999998</v>
      </c>
      <c r="H139" s="1">
        <v>1981</v>
      </c>
      <c r="I139" s="1" t="str">
        <f t="shared" si="2"/>
        <v>FASY</v>
      </c>
      <c r="J139" t="s">
        <v>112</v>
      </c>
      <c r="K139" t="s">
        <v>112</v>
      </c>
      <c r="L139" t="s">
        <v>112</v>
      </c>
    </row>
    <row r="140" spans="3:12" x14ac:dyDescent="0.3">
      <c r="C140" s="1" t="s">
        <v>37</v>
      </c>
      <c r="D140" s="1">
        <v>13.4633</v>
      </c>
      <c r="E140" s="1">
        <v>48.921500000000002</v>
      </c>
      <c r="F140" s="1">
        <v>869.87121999999999</v>
      </c>
      <c r="G140" s="1">
        <v>0.78500000000000003</v>
      </c>
      <c r="H140" s="1">
        <v>1902</v>
      </c>
      <c r="I140" s="1" t="str">
        <f t="shared" si="2"/>
        <v>FASY</v>
      </c>
      <c r="J140">
        <v>2.1232E-3</v>
      </c>
      <c r="K140">
        <v>-5.7588805503439998E-2</v>
      </c>
      <c r="L140">
        <v>-0.5666291</v>
      </c>
    </row>
    <row r="141" spans="3:12" x14ac:dyDescent="0.3">
      <c r="C141" s="1" t="s">
        <v>37</v>
      </c>
      <c r="D141" s="1">
        <v>2.3963999999999999</v>
      </c>
      <c r="E141" s="1">
        <v>41.7727</v>
      </c>
      <c r="F141" s="1">
        <v>674.88262999999995</v>
      </c>
      <c r="G141" s="1">
        <v>1.228</v>
      </c>
      <c r="H141" s="1">
        <v>1945</v>
      </c>
      <c r="I141" s="1" t="str">
        <f t="shared" si="2"/>
        <v>FASY</v>
      </c>
      <c r="J141">
        <v>1.4996900000000001E-2</v>
      </c>
      <c r="K141">
        <v>-1.2622576610382E-2</v>
      </c>
      <c r="L141">
        <v>-0.33295799999999998</v>
      </c>
    </row>
    <row r="142" spans="3:12" x14ac:dyDescent="0.3">
      <c r="C142" s="1" t="s">
        <v>37</v>
      </c>
      <c r="D142" s="1">
        <v>5.3539166666666702</v>
      </c>
      <c r="E142" s="1">
        <v>45.007733333333299</v>
      </c>
      <c r="F142" s="1">
        <v>761.62267999999995</v>
      </c>
      <c r="G142" s="1">
        <v>2.35</v>
      </c>
      <c r="H142" s="1">
        <v>1905</v>
      </c>
      <c r="I142" s="1" t="str">
        <f t="shared" si="2"/>
        <v>FASY</v>
      </c>
      <c r="J142">
        <v>1.3298900000000001E-2</v>
      </c>
      <c r="K142">
        <v>-1.2570981863665001E-2</v>
      </c>
      <c r="L142">
        <v>-0.61279859999999997</v>
      </c>
    </row>
    <row r="143" spans="3:12" x14ac:dyDescent="0.3">
      <c r="C143" s="1" t="s">
        <v>37</v>
      </c>
      <c r="D143" s="1">
        <v>-0.96830000000000005</v>
      </c>
      <c r="E143" s="1">
        <v>42.850900000000003</v>
      </c>
      <c r="F143" s="1">
        <v>1479.7910999999999</v>
      </c>
      <c r="G143" s="1">
        <v>2.5</v>
      </c>
      <c r="H143" s="1">
        <v>1971</v>
      </c>
      <c r="I143" s="1" t="str">
        <f t="shared" si="2"/>
        <v>FASY</v>
      </c>
      <c r="J143">
        <v>2.1006899999999998E-2</v>
      </c>
      <c r="K143">
        <v>-1.9869606003752E-2</v>
      </c>
      <c r="L143">
        <v>-0.3330362</v>
      </c>
    </row>
    <row r="144" spans="3:12" x14ac:dyDescent="0.3">
      <c r="C144" s="1" t="s">
        <v>37</v>
      </c>
      <c r="D144" s="1">
        <v>-0.96830000000000005</v>
      </c>
      <c r="E144" s="1">
        <v>42.850900000000003</v>
      </c>
      <c r="F144" s="1">
        <v>1479.7910999999999</v>
      </c>
      <c r="G144" s="1">
        <v>3.75</v>
      </c>
      <c r="H144" s="1">
        <v>1971</v>
      </c>
      <c r="I144" s="1" t="str">
        <f t="shared" si="2"/>
        <v>FASY</v>
      </c>
      <c r="J144">
        <v>2.1006899999999998E-2</v>
      </c>
      <c r="K144">
        <v>-1.9869606003752E-2</v>
      </c>
      <c r="L144">
        <v>-0.3330362</v>
      </c>
    </row>
    <row r="145" spans="3:12" x14ac:dyDescent="0.3">
      <c r="C145" s="1" t="s">
        <v>37</v>
      </c>
      <c r="D145" s="1">
        <v>10.8605</v>
      </c>
      <c r="E145" s="1">
        <v>45.7196</v>
      </c>
      <c r="F145" s="1">
        <v>1367.8629000000001</v>
      </c>
      <c r="G145" s="1">
        <v>6.4530000000000003</v>
      </c>
      <c r="H145" s="1">
        <v>1989</v>
      </c>
      <c r="I145" s="1" t="str">
        <f t="shared" si="2"/>
        <v>FASY</v>
      </c>
      <c r="J145">
        <v>5.4095999999999997E-3</v>
      </c>
      <c r="K145">
        <v>-8.6163227016889995E-3</v>
      </c>
      <c r="L145">
        <v>-5.6400000000000002E-5</v>
      </c>
    </row>
    <row r="146" spans="3:12" x14ac:dyDescent="0.3">
      <c r="C146" s="1" t="s">
        <v>38</v>
      </c>
      <c r="D146" s="1">
        <v>13.4633</v>
      </c>
      <c r="E146" s="1">
        <v>48.921500000000002</v>
      </c>
      <c r="F146" s="1">
        <v>869.87121999999999</v>
      </c>
      <c r="G146" s="1">
        <v>1.014</v>
      </c>
      <c r="H146" s="1">
        <v>1902</v>
      </c>
      <c r="I146" s="1" t="str">
        <f t="shared" si="2"/>
        <v>FRAL</v>
      </c>
      <c r="J146">
        <v>2.1232E-3</v>
      </c>
      <c r="K146">
        <v>-5.7588805503439998E-2</v>
      </c>
      <c r="L146">
        <v>-0.5666291</v>
      </c>
    </row>
    <row r="147" spans="3:12" x14ac:dyDescent="0.3">
      <c r="C147" s="1" t="s">
        <v>38</v>
      </c>
      <c r="D147" s="1">
        <v>10.8605</v>
      </c>
      <c r="E147" s="1">
        <v>45.7196</v>
      </c>
      <c r="F147" s="1">
        <v>1367.8629000000001</v>
      </c>
      <c r="G147" s="1">
        <v>5.1609999999999996</v>
      </c>
      <c r="H147" s="1">
        <v>1989</v>
      </c>
      <c r="I147" s="1" t="str">
        <f t="shared" si="2"/>
        <v>FRAL</v>
      </c>
      <c r="J147">
        <v>5.4095999999999997E-3</v>
      </c>
      <c r="K147">
        <v>-8.6163227016889995E-3</v>
      </c>
      <c r="L147">
        <v>-5.6400000000000002E-5</v>
      </c>
    </row>
    <row r="148" spans="3:12" x14ac:dyDescent="0.3">
      <c r="C148" s="1" t="s">
        <v>38</v>
      </c>
      <c r="D148" s="1">
        <v>-119.4324</v>
      </c>
      <c r="E148" s="1">
        <v>37.261499999999899</v>
      </c>
      <c r="F148" s="1">
        <v>1792.5378000000001</v>
      </c>
      <c r="G148" s="1">
        <v>-0.63800000000000001</v>
      </c>
      <c r="H148" s="1">
        <v>1895</v>
      </c>
      <c r="I148" s="1" t="str">
        <f t="shared" si="2"/>
        <v>FRAL</v>
      </c>
      <c r="J148">
        <v>1.62414E-2</v>
      </c>
      <c r="K148">
        <v>-8.2698561601E-3</v>
      </c>
      <c r="L148">
        <v>2.8980599999999999E-2</v>
      </c>
    </row>
    <row r="149" spans="3:12" x14ac:dyDescent="0.3">
      <c r="C149" s="1" t="s">
        <v>38</v>
      </c>
      <c r="D149" s="1">
        <v>-119.4324</v>
      </c>
      <c r="E149" s="1">
        <v>37.261499999999899</v>
      </c>
      <c r="F149" s="1">
        <v>1792.5378000000001</v>
      </c>
      <c r="G149" s="1">
        <v>1.409</v>
      </c>
      <c r="H149" s="1">
        <v>1895</v>
      </c>
      <c r="I149" s="1" t="str">
        <f t="shared" si="2"/>
        <v>FRAL</v>
      </c>
      <c r="J149">
        <v>1.62414E-2</v>
      </c>
      <c r="K149">
        <v>-8.2698561601E-3</v>
      </c>
      <c r="L149">
        <v>2.8980599999999999E-2</v>
      </c>
    </row>
    <row r="150" spans="3:12" x14ac:dyDescent="0.3">
      <c r="C150" s="1" t="s">
        <v>39</v>
      </c>
      <c r="D150" s="1">
        <v>-71.156700000000001</v>
      </c>
      <c r="E150" s="1">
        <v>45.460099999999898</v>
      </c>
      <c r="F150" s="1">
        <v>901.67474000000004</v>
      </c>
      <c r="G150" s="1">
        <v>-0.55800000000000005</v>
      </c>
      <c r="H150" s="1">
        <v>1970</v>
      </c>
      <c r="I150" s="1" t="str">
        <f t="shared" si="2"/>
        <v>FRAM</v>
      </c>
      <c r="J150">
        <v>6.8230000000000001E-3</v>
      </c>
      <c r="K150">
        <v>1.2881801125703999E-2</v>
      </c>
      <c r="L150">
        <v>0.35348039999999997</v>
      </c>
    </row>
    <row r="151" spans="3:12" x14ac:dyDescent="0.3">
      <c r="C151" s="1" t="s">
        <v>40</v>
      </c>
      <c r="D151" s="1">
        <v>19.6858</v>
      </c>
      <c r="E151" s="1">
        <v>48.844700000000003</v>
      </c>
      <c r="F151" s="1">
        <v>701.47131000000002</v>
      </c>
      <c r="G151" s="1">
        <v>0</v>
      </c>
      <c r="H151" s="1">
        <v>1966</v>
      </c>
      <c r="I151" s="1" t="str">
        <f t="shared" si="2"/>
        <v>FREX</v>
      </c>
      <c r="J151">
        <v>-1.7639100000000001E-2</v>
      </c>
      <c r="K151">
        <v>-3.2774233896185001E-2</v>
      </c>
      <c r="L151">
        <v>-0.5645559</v>
      </c>
    </row>
    <row r="152" spans="3:12" x14ac:dyDescent="0.3">
      <c r="C152" s="1" t="s">
        <v>40</v>
      </c>
      <c r="D152" s="1">
        <v>2.0886</v>
      </c>
      <c r="E152" s="1">
        <v>46.670499999999898</v>
      </c>
      <c r="F152" s="1">
        <v>264.83069</v>
      </c>
      <c r="G152" s="1">
        <v>6.9000000000000006E-2</v>
      </c>
      <c r="H152" s="1">
        <v>1914</v>
      </c>
      <c r="I152" s="1" t="str">
        <f t="shared" si="2"/>
        <v>FREX</v>
      </c>
      <c r="J152">
        <v>1.49062E-2</v>
      </c>
      <c r="K152">
        <v>3.8769856160100001E-2</v>
      </c>
      <c r="L152">
        <v>-0.25414009999999998</v>
      </c>
    </row>
    <row r="153" spans="3:12" x14ac:dyDescent="0.3">
      <c r="C153" s="1" t="s">
        <v>40</v>
      </c>
      <c r="D153" s="1">
        <v>5.3539166666666702</v>
      </c>
      <c r="E153" s="1">
        <v>45.007733333333299</v>
      </c>
      <c r="F153" s="1">
        <v>761.62267999999995</v>
      </c>
      <c r="G153" s="1">
        <v>0.52400000000000002</v>
      </c>
      <c r="H153" s="1">
        <v>1905</v>
      </c>
      <c r="I153" s="1" t="str">
        <f t="shared" si="2"/>
        <v>FREX</v>
      </c>
      <c r="J153">
        <v>1.3298900000000001E-2</v>
      </c>
      <c r="K153">
        <v>-1.2570981863665001E-2</v>
      </c>
      <c r="L153">
        <v>-0.61279859999999997</v>
      </c>
    </row>
    <row r="154" spans="3:12" x14ac:dyDescent="0.3">
      <c r="C154" s="1" t="s">
        <v>40</v>
      </c>
      <c r="D154" s="1">
        <v>19.6858</v>
      </c>
      <c r="E154" s="1">
        <v>48.844700000000003</v>
      </c>
      <c r="F154" s="1">
        <v>701.47131000000002</v>
      </c>
      <c r="G154" s="1">
        <v>0.64100000000000001</v>
      </c>
      <c r="H154" s="1">
        <v>1966</v>
      </c>
      <c r="I154" s="1" t="str">
        <f t="shared" si="2"/>
        <v>FREX</v>
      </c>
      <c r="J154">
        <v>-1.7639100000000001E-2</v>
      </c>
      <c r="K154">
        <v>-3.2774233896185001E-2</v>
      </c>
      <c r="L154">
        <v>-0.5645559</v>
      </c>
    </row>
    <row r="155" spans="3:12" x14ac:dyDescent="0.3">
      <c r="C155" s="1" t="s">
        <v>40</v>
      </c>
      <c r="D155" s="1">
        <v>19.6858</v>
      </c>
      <c r="E155" s="1">
        <v>48.844700000000003</v>
      </c>
      <c r="F155" s="1">
        <v>701.47131000000002</v>
      </c>
      <c r="G155" s="1">
        <v>0.91300000000000003</v>
      </c>
      <c r="H155" s="1">
        <v>1966</v>
      </c>
      <c r="I155" s="1" t="str">
        <f t="shared" si="2"/>
        <v>FREX</v>
      </c>
      <c r="J155">
        <v>-1.7639100000000001E-2</v>
      </c>
      <c r="K155">
        <v>-3.2774233896185001E-2</v>
      </c>
      <c r="L155">
        <v>-0.5645559</v>
      </c>
    </row>
    <row r="156" spans="3:12" x14ac:dyDescent="0.3">
      <c r="C156" s="1" t="s">
        <v>40</v>
      </c>
      <c r="D156" s="1">
        <v>2.0886</v>
      </c>
      <c r="E156" s="1">
        <v>46.670499999999898</v>
      </c>
      <c r="F156" s="1">
        <v>264.83069</v>
      </c>
      <c r="G156" s="1">
        <v>1.228</v>
      </c>
      <c r="H156" s="1">
        <v>1914</v>
      </c>
      <c r="I156" s="1" t="str">
        <f t="shared" si="2"/>
        <v>FREX</v>
      </c>
      <c r="J156">
        <v>1.49062E-2</v>
      </c>
      <c r="K156">
        <v>3.8769856160100001E-2</v>
      </c>
      <c r="L156">
        <v>-0.25414009999999998</v>
      </c>
    </row>
    <row r="157" spans="3:12" x14ac:dyDescent="0.3">
      <c r="C157" s="1" t="s">
        <v>40</v>
      </c>
      <c r="D157" s="1">
        <v>13.4633</v>
      </c>
      <c r="E157" s="1">
        <v>48.921500000000002</v>
      </c>
      <c r="F157" s="1">
        <v>869.87121999999999</v>
      </c>
      <c r="G157" s="1">
        <v>2.3540000000000001</v>
      </c>
      <c r="H157" s="1">
        <v>1902</v>
      </c>
      <c r="I157" s="1" t="str">
        <f t="shared" si="2"/>
        <v>FREX</v>
      </c>
      <c r="J157">
        <v>2.1232E-3</v>
      </c>
      <c r="K157">
        <v>-5.7588805503439998E-2</v>
      </c>
      <c r="L157">
        <v>-0.5666291</v>
      </c>
    </row>
    <row r="158" spans="3:12" x14ac:dyDescent="0.3">
      <c r="C158" s="1" t="s">
        <v>40</v>
      </c>
      <c r="D158" s="1">
        <v>2.0886</v>
      </c>
      <c r="E158" s="1">
        <v>46.670499999999898</v>
      </c>
      <c r="F158" s="1">
        <v>264.83069</v>
      </c>
      <c r="G158" s="1">
        <v>3.49</v>
      </c>
      <c r="H158" s="1">
        <v>1914</v>
      </c>
      <c r="I158" s="1" t="str">
        <f t="shared" si="2"/>
        <v>FREX</v>
      </c>
      <c r="J158">
        <v>1.49062E-2</v>
      </c>
      <c r="K158">
        <v>3.8769856160100001E-2</v>
      </c>
      <c r="L158">
        <v>-0.25414009999999998</v>
      </c>
    </row>
    <row r="159" spans="3:12" x14ac:dyDescent="0.3">
      <c r="C159" s="1" t="s">
        <v>40</v>
      </c>
      <c r="D159" s="1">
        <v>10.8605</v>
      </c>
      <c r="E159" s="1">
        <v>45.7196</v>
      </c>
      <c r="F159" s="1">
        <v>1367.8629000000001</v>
      </c>
      <c r="G159" s="1">
        <v>5.0129999999999999</v>
      </c>
      <c r="H159" s="1">
        <v>1989</v>
      </c>
      <c r="I159" s="1" t="str">
        <f t="shared" si="2"/>
        <v>FREX</v>
      </c>
      <c r="J159">
        <v>5.4095999999999997E-3</v>
      </c>
      <c r="K159">
        <v>-8.6163227016889995E-3</v>
      </c>
      <c r="L159">
        <v>-5.6400000000000002E-5</v>
      </c>
    </row>
    <row r="160" spans="3:12" x14ac:dyDescent="0.3">
      <c r="C160" s="1" t="s">
        <v>40</v>
      </c>
      <c r="D160" s="1">
        <v>7.0965499999999997</v>
      </c>
      <c r="E160" s="1">
        <v>43.006549999999997</v>
      </c>
      <c r="F160" s="1" t="s">
        <v>112</v>
      </c>
      <c r="G160" s="1">
        <v>15.643000000000001</v>
      </c>
      <c r="H160" s="1">
        <v>1981</v>
      </c>
      <c r="I160" s="1" t="str">
        <f t="shared" si="2"/>
        <v>FREX</v>
      </c>
      <c r="J160" t="s">
        <v>112</v>
      </c>
      <c r="K160" t="s">
        <v>112</v>
      </c>
      <c r="L160" t="s">
        <v>112</v>
      </c>
    </row>
    <row r="161" spans="3:12" x14ac:dyDescent="0.3">
      <c r="C161" s="1" t="s">
        <v>41</v>
      </c>
      <c r="D161" s="1">
        <v>10.8605</v>
      </c>
      <c r="E161" s="1">
        <v>45.7196</v>
      </c>
      <c r="F161" s="1">
        <v>1367.8629000000001</v>
      </c>
      <c r="G161" s="1">
        <v>3.3079999999999998</v>
      </c>
      <c r="H161" s="1">
        <v>1989</v>
      </c>
      <c r="I161" s="1" t="str">
        <f t="shared" si="2"/>
        <v>FROR</v>
      </c>
      <c r="J161">
        <v>5.4095999999999997E-3</v>
      </c>
      <c r="K161">
        <v>-8.6163227016889995E-3</v>
      </c>
      <c r="L161">
        <v>-5.6400000000000002E-5</v>
      </c>
    </row>
    <row r="162" spans="3:12" x14ac:dyDescent="0.3">
      <c r="C162" s="1" t="s">
        <v>41</v>
      </c>
      <c r="D162" s="1">
        <v>7.0965499999999997</v>
      </c>
      <c r="E162" s="1">
        <v>43.006549999999997</v>
      </c>
      <c r="F162" s="1" t="s">
        <v>112</v>
      </c>
      <c r="G162" s="1">
        <v>6.0709999999999997</v>
      </c>
      <c r="H162" s="1">
        <v>1981</v>
      </c>
      <c r="I162" s="1" t="str">
        <f t="shared" si="2"/>
        <v>FROR</v>
      </c>
      <c r="J162" t="s">
        <v>112</v>
      </c>
      <c r="K162" t="s">
        <v>112</v>
      </c>
      <c r="L162" t="s">
        <v>112</v>
      </c>
    </row>
    <row r="163" spans="3:12" x14ac:dyDescent="0.3">
      <c r="C163" s="1" t="s">
        <v>42</v>
      </c>
      <c r="D163" s="1">
        <v>-119.4324</v>
      </c>
      <c r="E163" s="1">
        <v>37.261499999999899</v>
      </c>
      <c r="F163" s="1">
        <v>1792.5378000000001</v>
      </c>
      <c r="G163" s="1">
        <v>-0.16900000000000001</v>
      </c>
      <c r="H163" s="1">
        <v>1895</v>
      </c>
      <c r="I163" s="1" t="str">
        <f t="shared" si="2"/>
        <v>JUCA</v>
      </c>
      <c r="J163">
        <v>1.62414E-2</v>
      </c>
      <c r="K163">
        <v>-8.2698561601E-3</v>
      </c>
      <c r="L163">
        <v>2.8980599999999999E-2</v>
      </c>
    </row>
    <row r="164" spans="3:12" x14ac:dyDescent="0.3">
      <c r="C164" s="1" t="s">
        <v>43</v>
      </c>
      <c r="D164" s="1">
        <v>10.8605</v>
      </c>
      <c r="E164" s="1">
        <v>45.7196</v>
      </c>
      <c r="F164" s="1">
        <v>1367.8629000000001</v>
      </c>
      <c r="G164" s="1">
        <v>1.472</v>
      </c>
      <c r="H164" s="1">
        <v>1989</v>
      </c>
      <c r="I164" s="1" t="str">
        <f t="shared" si="2"/>
        <v>JURE</v>
      </c>
      <c r="J164">
        <v>5.4095999999999997E-3</v>
      </c>
      <c r="K164">
        <v>-8.6163227016889995E-3</v>
      </c>
      <c r="L164">
        <v>-5.6400000000000002E-5</v>
      </c>
    </row>
    <row r="165" spans="3:12" x14ac:dyDescent="0.3">
      <c r="C165" s="1" t="s">
        <v>43</v>
      </c>
      <c r="D165" s="1">
        <v>7.0965499999999997</v>
      </c>
      <c r="E165" s="1">
        <v>43.006549999999997</v>
      </c>
      <c r="F165" s="1" t="s">
        <v>112</v>
      </c>
      <c r="G165" s="1">
        <v>3.1429999999999998</v>
      </c>
      <c r="H165" s="1">
        <v>1981</v>
      </c>
      <c r="I165" s="1" t="str">
        <f t="shared" si="2"/>
        <v>JURE</v>
      </c>
      <c r="J165" t="s">
        <v>112</v>
      </c>
      <c r="K165" t="s">
        <v>112</v>
      </c>
      <c r="L165" t="s">
        <v>112</v>
      </c>
    </row>
    <row r="166" spans="3:12" x14ac:dyDescent="0.3">
      <c r="C166" s="1" t="s">
        <v>42</v>
      </c>
      <c r="D166" s="1">
        <v>-119.4324</v>
      </c>
      <c r="E166" s="1">
        <v>37.261499999999899</v>
      </c>
      <c r="F166" s="1">
        <v>1792.5378000000001</v>
      </c>
      <c r="G166" s="1">
        <v>0.56499999999999995</v>
      </c>
      <c r="H166" s="1">
        <v>1895</v>
      </c>
      <c r="I166" s="1" t="str">
        <f t="shared" si="2"/>
        <v>JUCA</v>
      </c>
      <c r="J166">
        <v>1.62414E-2</v>
      </c>
      <c r="K166">
        <v>-8.2698561601E-3</v>
      </c>
      <c r="L166">
        <v>2.8980599999999999E-2</v>
      </c>
    </row>
    <row r="167" spans="3:12" x14ac:dyDescent="0.3">
      <c r="C167" s="1" t="s">
        <v>44</v>
      </c>
      <c r="D167" s="1">
        <v>10.8605</v>
      </c>
      <c r="E167" s="1">
        <v>45.7196</v>
      </c>
      <c r="F167" s="1">
        <v>1367.8629000000001</v>
      </c>
      <c r="G167" s="1">
        <v>9.5389999999999997</v>
      </c>
      <c r="H167" s="1">
        <v>1989</v>
      </c>
      <c r="I167" s="1" t="str">
        <f t="shared" si="2"/>
        <v>JUCO</v>
      </c>
      <c r="J167">
        <v>5.4095999999999997E-3</v>
      </c>
      <c r="K167">
        <v>-8.6163227016889995E-3</v>
      </c>
      <c r="L167">
        <v>-5.6400000000000002E-5</v>
      </c>
    </row>
    <row r="168" spans="3:12" x14ac:dyDescent="0.3">
      <c r="C168" s="1" t="s">
        <v>44</v>
      </c>
      <c r="D168" s="1">
        <v>-119.4324</v>
      </c>
      <c r="E168" s="1">
        <v>37.261499999999899</v>
      </c>
      <c r="F168" s="1">
        <v>1792.5378000000001</v>
      </c>
      <c r="G168" s="1">
        <v>-8.0000000000000002E-3</v>
      </c>
      <c r="H168" s="1">
        <v>1895</v>
      </c>
      <c r="I168" s="1" t="str">
        <f t="shared" si="2"/>
        <v>JUCO</v>
      </c>
      <c r="J168">
        <v>1.62414E-2</v>
      </c>
      <c r="K168">
        <v>-8.2698561601E-3</v>
      </c>
      <c r="L168">
        <v>2.8980599999999999E-2</v>
      </c>
    </row>
    <row r="169" spans="3:12" x14ac:dyDescent="0.3">
      <c r="C169" s="1" t="s">
        <v>44</v>
      </c>
      <c r="D169" s="1">
        <v>-119.4324</v>
      </c>
      <c r="E169" s="1">
        <v>37.261499999999899</v>
      </c>
      <c r="F169" s="1">
        <v>1792.5378000000001</v>
      </c>
      <c r="G169" s="1">
        <v>-1.0620000000000001</v>
      </c>
      <c r="H169" s="1">
        <v>1895</v>
      </c>
      <c r="I169" s="1" t="str">
        <f t="shared" si="2"/>
        <v>JUCO</v>
      </c>
      <c r="J169">
        <v>1.62414E-2</v>
      </c>
      <c r="K169">
        <v>-8.2698561601E-3</v>
      </c>
      <c r="L169">
        <v>2.8980599999999999E-2</v>
      </c>
    </row>
    <row r="170" spans="3:12" x14ac:dyDescent="0.3">
      <c r="C170" s="1" t="s">
        <v>45</v>
      </c>
      <c r="D170" s="1">
        <v>-119.4324</v>
      </c>
      <c r="E170" s="1">
        <v>37.261499999999899</v>
      </c>
      <c r="F170" s="1">
        <v>1792.5378000000001</v>
      </c>
      <c r="G170" s="1">
        <v>8.8819999999999997</v>
      </c>
      <c r="H170" s="1">
        <v>1895</v>
      </c>
      <c r="I170" s="1" t="str">
        <f t="shared" si="2"/>
        <v>JUOC</v>
      </c>
      <c r="J170">
        <v>1.62414E-2</v>
      </c>
      <c r="K170">
        <v>-8.2698561601E-3</v>
      </c>
      <c r="L170">
        <v>2.8980599999999999E-2</v>
      </c>
    </row>
    <row r="171" spans="3:12" x14ac:dyDescent="0.3">
      <c r="C171" s="1" t="s">
        <v>46</v>
      </c>
      <c r="D171" s="1">
        <v>-119.4324</v>
      </c>
      <c r="E171" s="1">
        <v>37.261499999999899</v>
      </c>
      <c r="F171" s="1">
        <v>1792.5378000000001</v>
      </c>
      <c r="G171" s="1">
        <v>-1.5049999999999999</v>
      </c>
      <c r="H171" s="1">
        <v>1895</v>
      </c>
      <c r="I171" s="1" t="str">
        <f t="shared" si="2"/>
        <v>JUOX</v>
      </c>
      <c r="J171">
        <v>1.62414E-2</v>
      </c>
      <c r="K171">
        <v>-8.2698561601E-3</v>
      </c>
      <c r="L171">
        <v>2.8980599999999999E-2</v>
      </c>
    </row>
    <row r="172" spans="3:12" x14ac:dyDescent="0.3">
      <c r="C172" s="1" t="s">
        <v>47</v>
      </c>
      <c r="D172" s="1">
        <v>-119.4324</v>
      </c>
      <c r="E172" s="1">
        <v>37.261499999999899</v>
      </c>
      <c r="F172" s="1">
        <v>1792.5378000000001</v>
      </c>
      <c r="G172" s="1">
        <v>0.70099999999999996</v>
      </c>
      <c r="H172" s="1">
        <v>1895</v>
      </c>
      <c r="I172" s="1" t="str">
        <f t="shared" si="2"/>
        <v>JUSA</v>
      </c>
      <c r="J172">
        <v>1.62414E-2</v>
      </c>
      <c r="K172">
        <v>-8.2698561601E-3</v>
      </c>
      <c r="L172">
        <v>2.8980599999999999E-2</v>
      </c>
    </row>
    <row r="173" spans="3:12" x14ac:dyDescent="0.3">
      <c r="C173" s="1" t="s">
        <v>42</v>
      </c>
      <c r="D173" s="1">
        <v>-121.3335</v>
      </c>
      <c r="E173" s="1">
        <v>38.500700000000002</v>
      </c>
      <c r="F173" s="1">
        <v>17.796066</v>
      </c>
      <c r="G173" s="1">
        <v>-2.1339999999999999</v>
      </c>
      <c r="H173" s="1">
        <v>1930</v>
      </c>
      <c r="I173" s="1" t="str">
        <f t="shared" si="2"/>
        <v>JUCA</v>
      </c>
      <c r="J173">
        <v>7.2951999999999999E-3</v>
      </c>
      <c r="K173">
        <v>4.4734208880549998E-3</v>
      </c>
      <c r="L173">
        <v>3.0206E-3</v>
      </c>
    </row>
    <row r="174" spans="3:12" x14ac:dyDescent="0.3">
      <c r="C174" s="1" t="s">
        <v>42</v>
      </c>
      <c r="D174" s="1">
        <v>-119.4324</v>
      </c>
      <c r="E174" s="1">
        <v>37.261499999999899</v>
      </c>
      <c r="F174" s="1">
        <v>1792.5378000000001</v>
      </c>
      <c r="G174" s="1">
        <v>-1.772</v>
      </c>
      <c r="H174" s="1">
        <v>1895</v>
      </c>
      <c r="I174" s="1" t="str">
        <f t="shared" si="2"/>
        <v>JUCA</v>
      </c>
      <c r="J174">
        <v>1.62414E-2</v>
      </c>
      <c r="K174">
        <v>-8.2698561601E-3</v>
      </c>
      <c r="L174">
        <v>2.8980599999999999E-2</v>
      </c>
    </row>
    <row r="175" spans="3:12" x14ac:dyDescent="0.3">
      <c r="C175" s="1" t="s">
        <v>44</v>
      </c>
      <c r="D175" s="1">
        <v>-119.4324</v>
      </c>
      <c r="E175" s="1">
        <v>37.261499999999899</v>
      </c>
      <c r="F175" s="1">
        <v>1792.5378000000001</v>
      </c>
      <c r="G175" s="1">
        <v>-11.365</v>
      </c>
      <c r="H175" s="1">
        <v>1895</v>
      </c>
      <c r="I175" s="1" t="str">
        <f t="shared" si="2"/>
        <v>JUCO</v>
      </c>
      <c r="J175">
        <v>1.62414E-2</v>
      </c>
      <c r="K175">
        <v>-8.2698561601E-3</v>
      </c>
      <c r="L175">
        <v>2.8980599999999999E-2</v>
      </c>
    </row>
    <row r="176" spans="3:12" x14ac:dyDescent="0.3">
      <c r="C176" s="1" t="s">
        <v>44</v>
      </c>
      <c r="D176" s="1">
        <v>5.3539166666666702</v>
      </c>
      <c r="E176" s="1">
        <v>45.007733333333299</v>
      </c>
      <c r="F176" s="1">
        <v>761.62267999999995</v>
      </c>
      <c r="G176" s="1">
        <v>-2.8740000000000001</v>
      </c>
      <c r="H176" s="1">
        <v>1905</v>
      </c>
      <c r="I176" s="1" t="str">
        <f t="shared" si="2"/>
        <v>JUCO</v>
      </c>
      <c r="J176">
        <v>1.3298900000000001E-2</v>
      </c>
      <c r="K176">
        <v>-1.2570981863665001E-2</v>
      </c>
      <c r="L176">
        <v>-0.61279859999999997</v>
      </c>
    </row>
    <row r="177" spans="3:12" x14ac:dyDescent="0.3">
      <c r="C177" s="1" t="s">
        <v>44</v>
      </c>
      <c r="D177" s="1">
        <v>13.0769</v>
      </c>
      <c r="E177" s="1">
        <v>63.4405</v>
      </c>
      <c r="F177" s="1">
        <v>1097.6077</v>
      </c>
      <c r="G177" s="1">
        <v>0</v>
      </c>
      <c r="H177" s="1">
        <v>1948</v>
      </c>
      <c r="I177" s="1" t="str">
        <f t="shared" si="2"/>
        <v>JUCO</v>
      </c>
      <c r="J177">
        <v>7.0419000000000002E-3</v>
      </c>
      <c r="K177">
        <v>2.6615071919949999E-2</v>
      </c>
      <c r="L177">
        <v>-0.1774985</v>
      </c>
    </row>
    <row r="178" spans="3:12" x14ac:dyDescent="0.3">
      <c r="C178" s="1" t="s">
        <v>44</v>
      </c>
      <c r="D178" s="1">
        <v>24.6996</v>
      </c>
      <c r="E178" s="1">
        <v>69.812799999999896</v>
      </c>
      <c r="F178" s="1">
        <v>412.95316000000003</v>
      </c>
      <c r="G178" s="1">
        <v>0.185</v>
      </c>
      <c r="H178" s="1">
        <v>1982</v>
      </c>
      <c r="I178" s="1" t="str">
        <f t="shared" si="2"/>
        <v>JUCO</v>
      </c>
      <c r="J178">
        <v>2.7829999999999999E-3</v>
      </c>
      <c r="K178">
        <v>-5.2529706066289997E-3</v>
      </c>
      <c r="L178">
        <v>-4.50312E-2</v>
      </c>
    </row>
    <row r="179" spans="3:12" x14ac:dyDescent="0.3">
      <c r="C179" s="1" t="s">
        <v>44</v>
      </c>
      <c r="D179" s="1">
        <v>10.0448</v>
      </c>
      <c r="E179" s="1">
        <v>46.602699999999899</v>
      </c>
      <c r="F179" s="1">
        <v>1978.8960999999999</v>
      </c>
      <c r="G179" s="1">
        <v>0.42899999999999999</v>
      </c>
      <c r="H179" s="1">
        <v>1912</v>
      </c>
      <c r="I179" s="1" t="str">
        <f t="shared" si="2"/>
        <v>JUCO</v>
      </c>
      <c r="J179">
        <v>1.1554099999999999E-2</v>
      </c>
      <c r="K179">
        <v>1.3260162601626E-2</v>
      </c>
      <c r="L179">
        <v>-0.16215450000000001</v>
      </c>
    </row>
    <row r="180" spans="3:12" x14ac:dyDescent="0.3">
      <c r="C180" s="1" t="s">
        <v>44</v>
      </c>
      <c r="D180" s="1">
        <v>9.9322999999999997</v>
      </c>
      <c r="E180" s="1">
        <v>46.615900000000003</v>
      </c>
      <c r="F180" s="1">
        <v>2531.1504</v>
      </c>
      <c r="G180" s="1">
        <v>0.7</v>
      </c>
      <c r="H180" s="1">
        <v>1835</v>
      </c>
      <c r="I180" s="1" t="str">
        <f t="shared" si="2"/>
        <v>JUCO</v>
      </c>
      <c r="J180">
        <v>1.02408E-2</v>
      </c>
      <c r="K180">
        <v>7.003439649781E-3</v>
      </c>
      <c r="L180">
        <v>-0.1449375</v>
      </c>
    </row>
    <row r="181" spans="3:12" x14ac:dyDescent="0.3">
      <c r="C181" s="1" t="s">
        <v>44</v>
      </c>
      <c r="D181" s="1">
        <v>-3.9306000000000001</v>
      </c>
      <c r="E181" s="1">
        <v>40.860799999999898</v>
      </c>
      <c r="F181" s="1">
        <v>1769.4078</v>
      </c>
      <c r="G181" s="1">
        <v>0.81499999999999995</v>
      </c>
      <c r="H181" s="1">
        <v>1962</v>
      </c>
      <c r="I181" s="1" t="str">
        <f t="shared" si="2"/>
        <v>JUCO</v>
      </c>
      <c r="J181">
        <v>2.2770499999999999E-2</v>
      </c>
      <c r="K181">
        <v>-3.0929956222638999E-2</v>
      </c>
      <c r="L181">
        <v>3.4293299999999999E-2</v>
      </c>
    </row>
    <row r="182" spans="3:12" x14ac:dyDescent="0.3">
      <c r="C182" s="1" t="s">
        <v>44</v>
      </c>
      <c r="D182" s="1">
        <v>-119.4324</v>
      </c>
      <c r="E182" s="1">
        <v>37.261499999999899</v>
      </c>
      <c r="F182" s="1">
        <v>1792.5378000000001</v>
      </c>
      <c r="G182" s="1">
        <v>0.82599999999999996</v>
      </c>
      <c r="H182" s="1">
        <v>1895</v>
      </c>
      <c r="I182" s="1" t="str">
        <f t="shared" si="2"/>
        <v>JUCO</v>
      </c>
      <c r="J182">
        <v>1.62414E-2</v>
      </c>
      <c r="K182">
        <v>-8.2698561601E-3</v>
      </c>
      <c r="L182">
        <v>2.8980599999999999E-2</v>
      </c>
    </row>
    <row r="183" spans="3:12" x14ac:dyDescent="0.3">
      <c r="C183" s="1" t="s">
        <v>44</v>
      </c>
      <c r="D183" s="1">
        <v>24.6996</v>
      </c>
      <c r="E183" s="1">
        <v>69.812799999999896</v>
      </c>
      <c r="F183" s="1">
        <v>412.95316000000003</v>
      </c>
      <c r="G183" s="1">
        <v>0.92600000000000005</v>
      </c>
      <c r="H183" s="1">
        <v>1982</v>
      </c>
      <c r="I183" s="1" t="str">
        <f t="shared" si="2"/>
        <v>JUCO</v>
      </c>
      <c r="J183">
        <v>2.7829999999999999E-3</v>
      </c>
      <c r="K183">
        <v>-5.2529706066289997E-3</v>
      </c>
      <c r="L183">
        <v>-4.50312E-2</v>
      </c>
    </row>
    <row r="184" spans="3:12" x14ac:dyDescent="0.3">
      <c r="C184" s="1" t="s">
        <v>44</v>
      </c>
      <c r="D184" s="1">
        <v>11.3355999999999</v>
      </c>
      <c r="E184" s="1">
        <v>46.9102999999999</v>
      </c>
      <c r="F184" s="1">
        <v>1793.2164</v>
      </c>
      <c r="G184" s="1">
        <v>1.383</v>
      </c>
      <c r="H184" s="1">
        <v>1970</v>
      </c>
      <c r="I184" s="1" t="str">
        <f t="shared" si="2"/>
        <v>JUCO</v>
      </c>
      <c r="J184">
        <v>9.7248000000000005E-3</v>
      </c>
      <c r="K184">
        <v>2.1035021888679999E-3</v>
      </c>
      <c r="L184">
        <v>-0.1200251</v>
      </c>
    </row>
    <row r="185" spans="3:12" x14ac:dyDescent="0.3">
      <c r="C185" s="1" t="s">
        <v>44</v>
      </c>
      <c r="D185" s="1">
        <v>11.3355999999999</v>
      </c>
      <c r="E185" s="1">
        <v>46.9102999999999</v>
      </c>
      <c r="F185" s="1">
        <v>1793.2164</v>
      </c>
      <c r="G185" s="1">
        <v>2.34</v>
      </c>
      <c r="H185" s="1">
        <v>1970</v>
      </c>
      <c r="I185" s="1" t="str">
        <f t="shared" si="2"/>
        <v>JUCO</v>
      </c>
      <c r="J185">
        <v>9.7248000000000005E-3</v>
      </c>
      <c r="K185">
        <v>2.1035021888679999E-3</v>
      </c>
      <c r="L185">
        <v>-0.1200251</v>
      </c>
    </row>
    <row r="186" spans="3:12" x14ac:dyDescent="0.3">
      <c r="C186" s="1" t="s">
        <v>44</v>
      </c>
      <c r="D186" s="1">
        <v>11.3355999999999</v>
      </c>
      <c r="E186" s="1">
        <v>46.9102999999999</v>
      </c>
      <c r="F186" s="1">
        <v>1793.2164</v>
      </c>
      <c r="G186" s="1">
        <v>2.5960000000000001</v>
      </c>
      <c r="H186" s="1">
        <v>1970</v>
      </c>
      <c r="I186" s="1" t="str">
        <f t="shared" si="2"/>
        <v>JUCO</v>
      </c>
      <c r="J186">
        <v>9.7248000000000005E-3</v>
      </c>
      <c r="K186">
        <v>2.1035021888679999E-3</v>
      </c>
      <c r="L186">
        <v>-0.1200251</v>
      </c>
    </row>
    <row r="187" spans="3:12" x14ac:dyDescent="0.3">
      <c r="C187" s="1" t="s">
        <v>44</v>
      </c>
      <c r="D187" s="1">
        <v>10.8605</v>
      </c>
      <c r="E187" s="1">
        <v>45.7196</v>
      </c>
      <c r="F187" s="1">
        <v>1367.8629000000001</v>
      </c>
      <c r="G187" s="1">
        <v>4.923</v>
      </c>
      <c r="H187" s="1">
        <v>1989</v>
      </c>
      <c r="I187" s="1" t="str">
        <f t="shared" si="2"/>
        <v>JUCO</v>
      </c>
      <c r="J187">
        <v>5.4095999999999997E-3</v>
      </c>
      <c r="K187">
        <v>-8.6163227016889995E-3</v>
      </c>
      <c r="L187">
        <v>-5.6400000000000002E-5</v>
      </c>
    </row>
    <row r="188" spans="3:12" x14ac:dyDescent="0.3">
      <c r="C188" s="1" t="s">
        <v>44</v>
      </c>
      <c r="D188" s="1">
        <v>7.0965499999999997</v>
      </c>
      <c r="E188" s="1">
        <v>43.006549999999997</v>
      </c>
      <c r="F188" s="1" t="s">
        <v>112</v>
      </c>
      <c r="G188" s="1">
        <v>6.9290000000000003</v>
      </c>
      <c r="H188" s="1">
        <v>1981</v>
      </c>
      <c r="I188" s="1" t="str">
        <f t="shared" si="2"/>
        <v>JUCO</v>
      </c>
      <c r="J188" t="s">
        <v>112</v>
      </c>
      <c r="K188" t="s">
        <v>112</v>
      </c>
      <c r="L188" t="s">
        <v>112</v>
      </c>
    </row>
    <row r="189" spans="3:12" x14ac:dyDescent="0.3">
      <c r="C189" s="1" t="s">
        <v>48</v>
      </c>
      <c r="D189" s="1">
        <v>-110.7542</v>
      </c>
      <c r="E189" s="1">
        <v>32.437800000000003</v>
      </c>
      <c r="F189" s="1">
        <v>2398.3027000000002</v>
      </c>
      <c r="G189" s="1">
        <v>0</v>
      </c>
      <c r="H189" s="1">
        <v>1963</v>
      </c>
      <c r="I189" s="1" t="str">
        <f t="shared" si="2"/>
        <v>JUDE</v>
      </c>
      <c r="J189">
        <v>1.6810499999999999E-2</v>
      </c>
      <c r="K189">
        <v>7.7042839274546998E-2</v>
      </c>
      <c r="L189">
        <v>-5.29769E-2</v>
      </c>
    </row>
    <row r="190" spans="3:12" x14ac:dyDescent="0.3">
      <c r="C190" s="1" t="s">
        <v>48</v>
      </c>
      <c r="D190" s="1">
        <v>-110.7542</v>
      </c>
      <c r="E190" s="1">
        <v>32.437800000000003</v>
      </c>
      <c r="F190" s="1">
        <v>2398.3027000000002</v>
      </c>
      <c r="G190" s="1">
        <v>6.3940000000000001</v>
      </c>
      <c r="H190" s="1">
        <v>1963</v>
      </c>
      <c r="I190" s="1" t="str">
        <f t="shared" si="2"/>
        <v>JUDE</v>
      </c>
      <c r="J190">
        <v>1.6810499999999999E-2</v>
      </c>
      <c r="K190">
        <v>7.7042839274546998E-2</v>
      </c>
      <c r="L190">
        <v>-5.29769E-2</v>
      </c>
    </row>
    <row r="191" spans="3:12" x14ac:dyDescent="0.3">
      <c r="C191" s="1" t="s">
        <v>45</v>
      </c>
      <c r="D191" s="1">
        <v>-121.3335</v>
      </c>
      <c r="E191" s="1">
        <v>38.500700000000002</v>
      </c>
      <c r="F191" s="1">
        <v>17.796066</v>
      </c>
      <c r="G191" s="1">
        <v>-10.494</v>
      </c>
      <c r="H191" s="1">
        <v>1930</v>
      </c>
      <c r="I191" s="1" t="str">
        <f t="shared" si="2"/>
        <v>JUOC</v>
      </c>
      <c r="J191">
        <v>7.2951999999999999E-3</v>
      </c>
      <c r="K191">
        <v>4.4734208880549998E-3</v>
      </c>
      <c r="L191">
        <v>3.0206E-3</v>
      </c>
    </row>
    <row r="192" spans="3:12" x14ac:dyDescent="0.3">
      <c r="C192" s="1" t="s">
        <v>45</v>
      </c>
      <c r="D192" s="1">
        <v>-119.4324</v>
      </c>
      <c r="E192" s="1">
        <v>37.261499999999899</v>
      </c>
      <c r="F192" s="1">
        <v>1792.5378000000001</v>
      </c>
      <c r="G192" s="1">
        <v>4.8140000000000001</v>
      </c>
      <c r="H192" s="1">
        <v>1895</v>
      </c>
      <c r="I192" s="1" t="str">
        <f t="shared" si="2"/>
        <v>JUOC</v>
      </c>
      <c r="J192">
        <v>1.62414E-2</v>
      </c>
      <c r="K192">
        <v>-8.2698561601E-3</v>
      </c>
      <c r="L192">
        <v>2.8980599999999999E-2</v>
      </c>
    </row>
    <row r="193" spans="3:12" x14ac:dyDescent="0.3">
      <c r="C193" s="1" t="s">
        <v>49</v>
      </c>
      <c r="D193" s="1">
        <v>-119.4324</v>
      </c>
      <c r="E193" s="1">
        <v>37.261499999999899</v>
      </c>
      <c r="F193" s="1">
        <v>1792.5378000000001</v>
      </c>
      <c r="G193" s="1">
        <v>-1.748</v>
      </c>
      <c r="H193" s="1">
        <v>1895</v>
      </c>
      <c r="I193" s="1" t="str">
        <f t="shared" si="2"/>
        <v>JUOS</v>
      </c>
      <c r="J193">
        <v>1.62414E-2</v>
      </c>
      <c r="K193">
        <v>-8.2698561601E-3</v>
      </c>
      <c r="L193">
        <v>2.8980599999999999E-2</v>
      </c>
    </row>
    <row r="194" spans="3:12" x14ac:dyDescent="0.3">
      <c r="C194" s="1" t="s">
        <v>46</v>
      </c>
      <c r="D194" s="1">
        <v>7.0965499999999997</v>
      </c>
      <c r="E194" s="1">
        <v>43.006549999999997</v>
      </c>
      <c r="F194" s="1" t="s">
        <v>112</v>
      </c>
      <c r="G194" s="1">
        <v>0.14299999999999999</v>
      </c>
      <c r="H194" s="1">
        <v>1981</v>
      </c>
      <c r="I194" s="1" t="str">
        <f t="shared" si="2"/>
        <v>JUOX</v>
      </c>
      <c r="J194" t="s">
        <v>112</v>
      </c>
      <c r="K194" t="s">
        <v>112</v>
      </c>
      <c r="L194" t="s">
        <v>112</v>
      </c>
    </row>
    <row r="195" spans="3:12" x14ac:dyDescent="0.3">
      <c r="C195" s="1" t="s">
        <v>43</v>
      </c>
      <c r="D195" s="1">
        <v>88.524900000000002</v>
      </c>
      <c r="E195" s="1">
        <v>27.904599999999899</v>
      </c>
      <c r="F195" s="1">
        <v>4072.03</v>
      </c>
      <c r="G195" s="1">
        <v>-0.34599999999999997</v>
      </c>
      <c r="H195" s="1">
        <v>1849</v>
      </c>
      <c r="I195" s="1" t="str">
        <f t="shared" si="2"/>
        <v>JURE</v>
      </c>
      <c r="J195">
        <v>5.3346000000000001E-3</v>
      </c>
      <c r="K195">
        <v>3.1974358974358998E-2</v>
      </c>
      <c r="L195">
        <v>-0.55690430000000002</v>
      </c>
    </row>
    <row r="196" spans="3:12" x14ac:dyDescent="0.3">
      <c r="C196" s="1" t="s">
        <v>43</v>
      </c>
      <c r="D196" s="1">
        <v>88.524900000000002</v>
      </c>
      <c r="E196" s="1">
        <v>27.904599999999899</v>
      </c>
      <c r="F196" s="1">
        <v>4072.03</v>
      </c>
      <c r="G196" s="1">
        <v>0.123</v>
      </c>
      <c r="H196" s="1">
        <v>1849</v>
      </c>
      <c r="I196" s="1" t="str">
        <f t="shared" ref="I196:I259" si="3">RIGHT(LEFT(C196,5),4)</f>
        <v>JURE</v>
      </c>
      <c r="J196">
        <v>5.3346000000000001E-3</v>
      </c>
      <c r="K196">
        <v>3.1974358974358998E-2</v>
      </c>
      <c r="L196">
        <v>-0.55690430000000002</v>
      </c>
    </row>
    <row r="197" spans="3:12" x14ac:dyDescent="0.3">
      <c r="C197" s="1" t="s">
        <v>43</v>
      </c>
      <c r="D197" s="1">
        <v>88.524900000000002</v>
      </c>
      <c r="E197" s="1">
        <v>27.904599999999899</v>
      </c>
      <c r="F197" s="1">
        <v>4072.03</v>
      </c>
      <c r="G197" s="1">
        <v>0.59199999999999997</v>
      </c>
      <c r="H197" s="1">
        <v>1849</v>
      </c>
      <c r="I197" s="1" t="str">
        <f t="shared" si="3"/>
        <v>JURE</v>
      </c>
      <c r="J197">
        <v>5.3346000000000001E-3</v>
      </c>
      <c r="K197">
        <v>3.1974358974358998E-2</v>
      </c>
      <c r="L197">
        <v>-0.55690430000000002</v>
      </c>
    </row>
    <row r="198" spans="3:12" x14ac:dyDescent="0.3">
      <c r="C198" s="1" t="s">
        <v>47</v>
      </c>
      <c r="D198" s="1">
        <v>7.0965499999999997</v>
      </c>
      <c r="E198" s="1">
        <v>43.006549999999997</v>
      </c>
      <c r="F198" s="1" t="s">
        <v>112</v>
      </c>
      <c r="G198" s="1">
        <v>5.7859999999999996</v>
      </c>
      <c r="H198" s="1">
        <v>1981</v>
      </c>
      <c r="I198" s="1" t="str">
        <f t="shared" si="3"/>
        <v>JUSA</v>
      </c>
      <c r="J198" t="s">
        <v>112</v>
      </c>
      <c r="K198" t="s">
        <v>112</v>
      </c>
      <c r="L198" t="s">
        <v>112</v>
      </c>
    </row>
    <row r="199" spans="3:12" x14ac:dyDescent="0.3">
      <c r="C199" s="1" t="s">
        <v>42</v>
      </c>
      <c r="D199" s="1">
        <v>-119.4324</v>
      </c>
      <c r="E199" s="1">
        <v>37.261499999999899</v>
      </c>
      <c r="F199" s="1">
        <v>1792.5378000000001</v>
      </c>
      <c r="G199" s="1">
        <v>0.35699999999999998</v>
      </c>
      <c r="H199" s="1">
        <v>1895</v>
      </c>
      <c r="I199" s="1" t="str">
        <f t="shared" si="3"/>
        <v>JUCA</v>
      </c>
      <c r="J199">
        <v>1.62414E-2</v>
      </c>
      <c r="K199">
        <v>-8.2698561601E-3</v>
      </c>
      <c r="L199">
        <v>2.8980599999999999E-2</v>
      </c>
    </row>
    <row r="200" spans="3:12" x14ac:dyDescent="0.3">
      <c r="C200" s="1" t="s">
        <v>50</v>
      </c>
      <c r="D200" s="1">
        <v>9.9429999999999996</v>
      </c>
      <c r="E200" s="1">
        <v>46.405999999999899</v>
      </c>
      <c r="F200" s="1">
        <v>2714.0785999999998</v>
      </c>
      <c r="G200" s="1">
        <v>-1.5149999999999999</v>
      </c>
      <c r="H200" s="1">
        <v>1906</v>
      </c>
      <c r="I200" s="1" t="str">
        <f t="shared" si="3"/>
        <v>LADE</v>
      </c>
      <c r="J200">
        <v>1.07098E-2</v>
      </c>
      <c r="K200">
        <v>1.6258599124452999E-2</v>
      </c>
      <c r="L200">
        <v>-0.35351779999999999</v>
      </c>
    </row>
    <row r="201" spans="3:12" x14ac:dyDescent="0.3">
      <c r="C201" s="1" t="s">
        <v>50</v>
      </c>
      <c r="D201" s="1">
        <v>10.8605</v>
      </c>
      <c r="E201" s="1">
        <v>45.7196</v>
      </c>
      <c r="F201" s="1">
        <v>1367.8629000000001</v>
      </c>
      <c r="G201" s="1">
        <v>0.86</v>
      </c>
      <c r="H201" s="1">
        <v>1989</v>
      </c>
      <c r="I201" s="1" t="str">
        <f t="shared" si="3"/>
        <v>LADE</v>
      </c>
      <c r="J201">
        <v>5.4095999999999997E-3</v>
      </c>
      <c r="K201">
        <v>-8.6163227016889995E-3</v>
      </c>
      <c r="L201">
        <v>-5.6400000000000002E-5</v>
      </c>
    </row>
    <row r="202" spans="3:12" x14ac:dyDescent="0.3">
      <c r="C202" s="1" t="s">
        <v>50</v>
      </c>
      <c r="D202" s="1">
        <v>7.3609</v>
      </c>
      <c r="E202" s="1">
        <v>45.7926</v>
      </c>
      <c r="F202" s="1">
        <v>2611.8398000000002</v>
      </c>
      <c r="G202" s="1">
        <v>1</v>
      </c>
      <c r="H202" s="1">
        <v>1951</v>
      </c>
      <c r="I202" s="1" t="str">
        <f t="shared" si="3"/>
        <v>LADE</v>
      </c>
      <c r="J202">
        <v>1.4762300000000001E-2</v>
      </c>
      <c r="K202">
        <v>6.3767979987490002E-3</v>
      </c>
      <c r="L202">
        <v>-0.51022809999999996</v>
      </c>
    </row>
    <row r="203" spans="3:12" x14ac:dyDescent="0.3">
      <c r="C203" s="1" t="s">
        <v>50</v>
      </c>
      <c r="D203" s="1">
        <v>7.3609</v>
      </c>
      <c r="E203" s="1">
        <v>45.7926</v>
      </c>
      <c r="F203" s="1">
        <v>2611.8398000000002</v>
      </c>
      <c r="G203" s="1">
        <v>1.1499999999999999</v>
      </c>
      <c r="H203" s="1">
        <v>1901</v>
      </c>
      <c r="I203" s="1" t="str">
        <f t="shared" si="3"/>
        <v>LADE</v>
      </c>
      <c r="J203">
        <v>1.4762300000000001E-2</v>
      </c>
      <c r="K203">
        <v>6.3767979987490002E-3</v>
      </c>
      <c r="L203">
        <v>-0.51022809999999996</v>
      </c>
    </row>
    <row r="204" spans="3:12" x14ac:dyDescent="0.3">
      <c r="C204" s="1" t="s">
        <v>50</v>
      </c>
      <c r="D204" s="1">
        <v>7.3609</v>
      </c>
      <c r="E204" s="1">
        <v>45.7926</v>
      </c>
      <c r="F204" s="1">
        <v>2611.8398000000002</v>
      </c>
      <c r="G204" s="1">
        <v>1.3</v>
      </c>
      <c r="H204" s="1">
        <v>2000</v>
      </c>
      <c r="I204" s="1" t="str">
        <f t="shared" si="3"/>
        <v>LADE</v>
      </c>
      <c r="J204">
        <v>1.4762300000000001E-2</v>
      </c>
      <c r="K204">
        <v>6.3767979987490002E-3</v>
      </c>
      <c r="L204">
        <v>-0.51022809999999996</v>
      </c>
    </row>
    <row r="205" spans="3:12" x14ac:dyDescent="0.3">
      <c r="C205" s="1" t="s">
        <v>50</v>
      </c>
      <c r="D205" s="1">
        <v>-119.4324</v>
      </c>
      <c r="E205" s="1">
        <v>37.261499999999899</v>
      </c>
      <c r="F205" s="1">
        <v>1792.5378000000001</v>
      </c>
      <c r="G205" s="1">
        <v>-3.5550000000000002</v>
      </c>
      <c r="H205" s="1">
        <v>1895</v>
      </c>
      <c r="I205" s="1" t="str">
        <f t="shared" si="3"/>
        <v>LADE</v>
      </c>
      <c r="J205">
        <v>1.62414E-2</v>
      </c>
      <c r="K205">
        <v>-8.2698561601E-3</v>
      </c>
      <c r="L205">
        <v>2.8980599999999999E-2</v>
      </c>
    </row>
    <row r="206" spans="3:12" x14ac:dyDescent="0.3">
      <c r="C206" s="1" t="s">
        <v>51</v>
      </c>
      <c r="D206" s="1">
        <v>10.8605</v>
      </c>
      <c r="E206" s="1">
        <v>45.7196</v>
      </c>
      <c r="F206" s="1">
        <v>1367.8629000000001</v>
      </c>
      <c r="G206" s="1">
        <v>1.159</v>
      </c>
      <c r="H206" s="1">
        <v>1989</v>
      </c>
      <c r="I206" s="1" t="str">
        <f t="shared" si="3"/>
        <v>LANO</v>
      </c>
      <c r="J206">
        <v>5.4095999999999997E-3</v>
      </c>
      <c r="K206">
        <v>-8.6163227016889995E-3</v>
      </c>
      <c r="L206">
        <v>-5.6400000000000002E-5</v>
      </c>
    </row>
    <row r="207" spans="3:12" x14ac:dyDescent="0.3">
      <c r="C207" s="1" t="s">
        <v>52</v>
      </c>
      <c r="D207" s="1">
        <v>5.3539166666666702</v>
      </c>
      <c r="E207" s="1">
        <v>45.007733333333299</v>
      </c>
      <c r="F207" s="1">
        <v>761.62267999999995</v>
      </c>
      <c r="G207" s="1">
        <v>-6.1550000000000002</v>
      </c>
      <c r="H207" s="1">
        <v>1905</v>
      </c>
      <c r="I207" s="1" t="str">
        <f t="shared" si="3"/>
        <v>LIVU</v>
      </c>
      <c r="J207">
        <v>1.3298900000000001E-2</v>
      </c>
      <c r="K207">
        <v>-1.2570981863665001E-2</v>
      </c>
      <c r="L207">
        <v>-0.61279859999999997</v>
      </c>
    </row>
    <row r="208" spans="3:12" x14ac:dyDescent="0.3">
      <c r="C208" s="1" t="s">
        <v>52</v>
      </c>
      <c r="D208" s="1">
        <v>7.0965499999999997</v>
      </c>
      <c r="E208" s="1">
        <v>43.006549999999997</v>
      </c>
      <c r="F208" s="1" t="s">
        <v>112</v>
      </c>
      <c r="G208" s="1">
        <v>11.356999999999999</v>
      </c>
      <c r="H208" s="1">
        <v>1981</v>
      </c>
      <c r="I208" s="1" t="str">
        <f t="shared" si="3"/>
        <v>LIVU</v>
      </c>
      <c r="J208" t="s">
        <v>112</v>
      </c>
      <c r="K208" t="s">
        <v>112</v>
      </c>
      <c r="L208" t="s">
        <v>112</v>
      </c>
    </row>
    <row r="209" spans="3:12" x14ac:dyDescent="0.3">
      <c r="C209" s="1" t="s">
        <v>52</v>
      </c>
      <c r="D209" s="1">
        <v>10.8605</v>
      </c>
      <c r="E209" s="1">
        <v>45.7196</v>
      </c>
      <c r="F209" s="1">
        <v>1367.8629000000001</v>
      </c>
      <c r="G209" s="1">
        <v>1.716</v>
      </c>
      <c r="H209" s="1">
        <v>1989</v>
      </c>
      <c r="I209" s="1" t="str">
        <f t="shared" si="3"/>
        <v>LIVU</v>
      </c>
      <c r="J209">
        <v>5.4095999999999997E-3</v>
      </c>
      <c r="K209">
        <v>-8.6163227016889995E-3</v>
      </c>
      <c r="L209">
        <v>-5.6400000000000002E-5</v>
      </c>
    </row>
    <row r="210" spans="3:12" x14ac:dyDescent="0.3">
      <c r="C210" s="1" t="s">
        <v>53</v>
      </c>
      <c r="D210" s="1">
        <v>-119.4324</v>
      </c>
      <c r="E210" s="1">
        <v>37.261499999999899</v>
      </c>
      <c r="F210" s="1">
        <v>1792.5378000000001</v>
      </c>
      <c r="G210" s="1">
        <v>-0.50900000000000001</v>
      </c>
      <c r="H210" s="1">
        <v>1895</v>
      </c>
      <c r="I210" s="1" t="str">
        <f t="shared" si="3"/>
        <v>MALA</v>
      </c>
      <c r="J210">
        <v>1.62414E-2</v>
      </c>
      <c r="K210">
        <v>-8.2698561601E-3</v>
      </c>
      <c r="L210">
        <v>2.8980599999999999E-2</v>
      </c>
    </row>
    <row r="211" spans="3:12" x14ac:dyDescent="0.3">
      <c r="C211" s="1" t="s">
        <v>54</v>
      </c>
      <c r="D211" s="1">
        <v>10.8605</v>
      </c>
      <c r="E211" s="1">
        <v>45.7196</v>
      </c>
      <c r="F211" s="1">
        <v>1367.8629000000001</v>
      </c>
      <c r="G211" s="1">
        <v>6.9130000000000003</v>
      </c>
      <c r="H211" s="1">
        <v>1989</v>
      </c>
      <c r="I211" s="1" t="str">
        <f t="shared" si="3"/>
        <v>MOAL</v>
      </c>
      <c r="J211">
        <v>5.4095999999999997E-3</v>
      </c>
      <c r="K211">
        <v>-8.6163227016889995E-3</v>
      </c>
      <c r="L211">
        <v>-5.6400000000000002E-5</v>
      </c>
    </row>
    <row r="212" spans="3:12" x14ac:dyDescent="0.3">
      <c r="C212" s="1" t="s">
        <v>55</v>
      </c>
      <c r="D212" s="1">
        <v>-119.4324</v>
      </c>
      <c r="E212" s="1">
        <v>37.261499999999899</v>
      </c>
      <c r="F212" s="1">
        <v>1792.5378000000001</v>
      </c>
      <c r="G212" s="1">
        <v>8.8849999999999998</v>
      </c>
      <c r="H212" s="1">
        <v>1895</v>
      </c>
      <c r="I212" s="1" t="str">
        <f t="shared" si="3"/>
        <v>PAMI</v>
      </c>
      <c r="J212">
        <v>1.62414E-2</v>
      </c>
      <c r="K212">
        <v>-8.2698561601E-3</v>
      </c>
      <c r="L212">
        <v>2.8980599999999999E-2</v>
      </c>
    </row>
    <row r="213" spans="3:12" x14ac:dyDescent="0.3">
      <c r="C213" s="1" t="s">
        <v>55</v>
      </c>
      <c r="D213" s="1">
        <v>-119.4324</v>
      </c>
      <c r="E213" s="1">
        <v>37.261499999999899</v>
      </c>
      <c r="F213" s="1">
        <v>1792.5378000000001</v>
      </c>
      <c r="G213" s="1">
        <v>0.436</v>
      </c>
      <c r="H213" s="1">
        <v>1895</v>
      </c>
      <c r="I213" s="1" t="str">
        <f t="shared" si="3"/>
        <v>PAMI</v>
      </c>
      <c r="J213">
        <v>1.62414E-2</v>
      </c>
      <c r="K213">
        <v>-8.2698561601E-3</v>
      </c>
      <c r="L213">
        <v>2.8980599999999999E-2</v>
      </c>
    </row>
    <row r="214" spans="3:12" x14ac:dyDescent="0.3">
      <c r="C214" s="1" t="s">
        <v>56</v>
      </c>
      <c r="D214" s="1">
        <v>-119.4324</v>
      </c>
      <c r="E214" s="1">
        <v>37.261499999999899</v>
      </c>
      <c r="F214" s="1">
        <v>1792.5378000000001</v>
      </c>
      <c r="G214" s="1">
        <v>-1.4610000000000001</v>
      </c>
      <c r="H214" s="1">
        <v>1895</v>
      </c>
      <c r="I214" s="1" t="str">
        <f t="shared" si="3"/>
        <v>PAMY</v>
      </c>
      <c r="J214">
        <v>1.62414E-2</v>
      </c>
      <c r="K214">
        <v>-8.2698561601E-3</v>
      </c>
      <c r="L214">
        <v>2.8980599999999999E-2</v>
      </c>
    </row>
    <row r="215" spans="3:12" x14ac:dyDescent="0.3">
      <c r="C215" s="1" t="s">
        <v>57</v>
      </c>
      <c r="D215" s="1">
        <v>7.0965499999999997</v>
      </c>
      <c r="E215" s="1">
        <v>43.006549999999997</v>
      </c>
      <c r="F215" s="1" t="s">
        <v>112</v>
      </c>
      <c r="G215" s="1">
        <v>-0.35699999999999998</v>
      </c>
      <c r="H215" s="1">
        <v>1981</v>
      </c>
      <c r="I215" s="1" t="str">
        <f t="shared" si="3"/>
        <v>PCAB</v>
      </c>
      <c r="J215" t="s">
        <v>112</v>
      </c>
      <c r="K215" t="s">
        <v>112</v>
      </c>
      <c r="L215" t="s">
        <v>112</v>
      </c>
    </row>
    <row r="216" spans="3:12" x14ac:dyDescent="0.3">
      <c r="C216" s="1" t="s">
        <v>57</v>
      </c>
      <c r="D216" s="1">
        <v>13.4633</v>
      </c>
      <c r="E216" s="1">
        <v>48.921500000000002</v>
      </c>
      <c r="F216" s="1">
        <v>869.87121999999999</v>
      </c>
      <c r="G216" s="1">
        <v>-0.32500000000000001</v>
      </c>
      <c r="H216" s="1">
        <v>1902</v>
      </c>
      <c r="I216" s="1" t="str">
        <f t="shared" si="3"/>
        <v>PCAB</v>
      </c>
      <c r="J216">
        <v>2.1232E-3</v>
      </c>
      <c r="K216">
        <v>-5.7588805503439998E-2</v>
      </c>
      <c r="L216">
        <v>-0.5666291</v>
      </c>
    </row>
    <row r="217" spans="3:12" x14ac:dyDescent="0.3">
      <c r="C217" s="1" t="s">
        <v>57</v>
      </c>
      <c r="D217" s="1">
        <v>19.6858</v>
      </c>
      <c r="E217" s="1">
        <v>48.844700000000003</v>
      </c>
      <c r="F217" s="1">
        <v>701.47131000000002</v>
      </c>
      <c r="G217" s="1">
        <v>7.1999999999999995E-2</v>
      </c>
      <c r="H217" s="1">
        <v>1966</v>
      </c>
      <c r="I217" s="1" t="str">
        <f t="shared" si="3"/>
        <v>PCAB</v>
      </c>
      <c r="J217">
        <v>-1.7639100000000001E-2</v>
      </c>
      <c r="K217">
        <v>-3.2774233896185001E-2</v>
      </c>
      <c r="L217">
        <v>-0.5645559</v>
      </c>
    </row>
    <row r="218" spans="3:12" x14ac:dyDescent="0.3">
      <c r="C218" s="1" t="s">
        <v>57</v>
      </c>
      <c r="D218" s="1">
        <v>19.6858</v>
      </c>
      <c r="E218" s="1">
        <v>48.844700000000003</v>
      </c>
      <c r="F218" s="1">
        <v>701.47131000000002</v>
      </c>
      <c r="G218" s="1">
        <v>0.59399999999999997</v>
      </c>
      <c r="H218" s="1">
        <v>1966</v>
      </c>
      <c r="I218" s="1" t="str">
        <f t="shared" si="3"/>
        <v>PCAB</v>
      </c>
      <c r="J218">
        <v>-1.7639100000000001E-2</v>
      </c>
      <c r="K218">
        <v>-3.2774233896185001E-2</v>
      </c>
      <c r="L218">
        <v>-0.5645559</v>
      </c>
    </row>
    <row r="219" spans="3:12" x14ac:dyDescent="0.3">
      <c r="C219" s="1" t="s">
        <v>57</v>
      </c>
      <c r="D219" s="1">
        <v>13.8377</v>
      </c>
      <c r="E219" s="1">
        <v>62.2349999999999</v>
      </c>
      <c r="F219" s="1">
        <v>402.63736</v>
      </c>
      <c r="G219" s="1">
        <v>0.78</v>
      </c>
      <c r="H219" s="1">
        <v>1915</v>
      </c>
      <c r="I219" s="1" t="str">
        <f t="shared" si="3"/>
        <v>PCAB</v>
      </c>
      <c r="J219">
        <v>7.2732999999999999E-3</v>
      </c>
      <c r="K219">
        <v>3.5175422138837002E-2</v>
      </c>
      <c r="L219">
        <v>-0.40224520000000002</v>
      </c>
    </row>
    <row r="220" spans="3:12" x14ac:dyDescent="0.3">
      <c r="C220" s="1" t="s">
        <v>57</v>
      </c>
      <c r="D220" s="1">
        <v>13.8377</v>
      </c>
      <c r="E220" s="1">
        <v>62.2349999999999</v>
      </c>
      <c r="F220" s="1">
        <v>402.63736</v>
      </c>
      <c r="G220" s="1">
        <v>0.98</v>
      </c>
      <c r="H220" s="1">
        <v>1915</v>
      </c>
      <c r="I220" s="1" t="str">
        <f t="shared" si="3"/>
        <v>PCAB</v>
      </c>
      <c r="J220">
        <v>7.2732999999999999E-3</v>
      </c>
      <c r="K220">
        <v>3.5175422138837002E-2</v>
      </c>
      <c r="L220">
        <v>-0.40224520000000002</v>
      </c>
    </row>
    <row r="221" spans="3:12" x14ac:dyDescent="0.3">
      <c r="C221" s="1" t="s">
        <v>57</v>
      </c>
      <c r="D221" s="1">
        <v>19.6858</v>
      </c>
      <c r="E221" s="1">
        <v>48.844700000000003</v>
      </c>
      <c r="F221" s="1">
        <v>701.47131000000002</v>
      </c>
      <c r="G221" s="1">
        <v>1.319</v>
      </c>
      <c r="H221" s="1">
        <v>1966</v>
      </c>
      <c r="I221" s="1" t="str">
        <f t="shared" si="3"/>
        <v>PCAB</v>
      </c>
      <c r="J221">
        <v>-1.7639100000000001E-2</v>
      </c>
      <c r="K221">
        <v>-3.2774233896185001E-2</v>
      </c>
      <c r="L221">
        <v>-0.5645559</v>
      </c>
    </row>
    <row r="222" spans="3:12" x14ac:dyDescent="0.3">
      <c r="C222" s="1" t="s">
        <v>57</v>
      </c>
      <c r="D222" s="1">
        <v>13.8377</v>
      </c>
      <c r="E222" s="1">
        <v>62.2349999999999</v>
      </c>
      <c r="F222" s="1">
        <v>402.63736</v>
      </c>
      <c r="G222" s="1">
        <v>1.34</v>
      </c>
      <c r="H222" s="1">
        <v>1975</v>
      </c>
      <c r="I222" s="1" t="str">
        <f t="shared" si="3"/>
        <v>PCAB</v>
      </c>
      <c r="J222">
        <v>7.2732999999999999E-3</v>
      </c>
      <c r="K222">
        <v>3.5175422138837002E-2</v>
      </c>
      <c r="L222">
        <v>-0.40224520000000002</v>
      </c>
    </row>
    <row r="223" spans="3:12" x14ac:dyDescent="0.3">
      <c r="C223" s="1" t="s">
        <v>57</v>
      </c>
      <c r="D223" s="1">
        <v>13.0769</v>
      </c>
      <c r="E223" s="1">
        <v>63.4405</v>
      </c>
      <c r="F223" s="1">
        <v>1097.6077</v>
      </c>
      <c r="G223" s="1">
        <v>4.7060000000000004</v>
      </c>
      <c r="H223" s="1">
        <v>1948</v>
      </c>
      <c r="I223" s="1" t="str">
        <f t="shared" si="3"/>
        <v>PCAB</v>
      </c>
      <c r="J223">
        <v>7.0419000000000002E-3</v>
      </c>
      <c r="K223">
        <v>2.6615071919949999E-2</v>
      </c>
      <c r="L223">
        <v>-0.1774985</v>
      </c>
    </row>
    <row r="224" spans="3:12" x14ac:dyDescent="0.3">
      <c r="C224" s="1" t="s">
        <v>57</v>
      </c>
      <c r="D224" s="1">
        <v>10.8605</v>
      </c>
      <c r="E224" s="1">
        <v>45.7196</v>
      </c>
      <c r="F224" s="1">
        <v>1367.8629000000001</v>
      </c>
      <c r="G224" s="1">
        <v>6.5359999999999996</v>
      </c>
      <c r="H224" s="1">
        <v>1989</v>
      </c>
      <c r="I224" s="1" t="str">
        <f t="shared" si="3"/>
        <v>PCAB</v>
      </c>
      <c r="J224">
        <v>5.4095999999999997E-3</v>
      </c>
      <c r="K224">
        <v>-8.6163227016889995E-3</v>
      </c>
      <c r="L224">
        <v>-5.6400000000000002E-5</v>
      </c>
    </row>
    <row r="225" spans="3:12" x14ac:dyDescent="0.3">
      <c r="C225" s="1" t="s">
        <v>58</v>
      </c>
      <c r="D225" s="1">
        <v>-139.500599999999</v>
      </c>
      <c r="E225" s="1">
        <v>61.474400000000003</v>
      </c>
      <c r="F225" s="1">
        <v>1486.2603999999999</v>
      </c>
      <c r="G225" s="1">
        <v>0.23499999999999999</v>
      </c>
      <c r="H225" s="1">
        <v>1947</v>
      </c>
      <c r="I225" s="1" t="str">
        <f t="shared" si="3"/>
        <v>PCGL</v>
      </c>
      <c r="J225">
        <v>3.1300999999999998E-3</v>
      </c>
      <c r="K225">
        <v>5.1926516572858003E-2</v>
      </c>
      <c r="L225">
        <v>0.20143220000000001</v>
      </c>
    </row>
    <row r="226" spans="3:12" x14ac:dyDescent="0.3">
      <c r="C226" s="1" t="s">
        <v>58</v>
      </c>
      <c r="D226" s="1">
        <v>-71.156700000000001</v>
      </c>
      <c r="E226" s="1">
        <v>45.460099999999898</v>
      </c>
      <c r="F226" s="1">
        <v>901.67474000000004</v>
      </c>
      <c r="G226" s="1">
        <v>1.9770000000000001</v>
      </c>
      <c r="H226" s="1">
        <v>1970</v>
      </c>
      <c r="I226" s="1" t="str">
        <f t="shared" si="3"/>
        <v>PCGL</v>
      </c>
      <c r="J226">
        <v>6.8230000000000001E-3</v>
      </c>
      <c r="K226">
        <v>1.2881801125703999E-2</v>
      </c>
      <c r="L226">
        <v>0.35348039999999997</v>
      </c>
    </row>
    <row r="227" spans="3:12" x14ac:dyDescent="0.3">
      <c r="C227" s="1" t="s">
        <v>58</v>
      </c>
      <c r="D227" s="1">
        <v>-150.05869999999899</v>
      </c>
      <c r="E227" s="1">
        <v>63.596200000000003</v>
      </c>
      <c r="F227" s="1">
        <v>816.00653</v>
      </c>
      <c r="G227" s="1">
        <v>2.83</v>
      </c>
      <c r="H227" s="1">
        <v>1953</v>
      </c>
      <c r="I227" s="1" t="str">
        <f t="shared" si="3"/>
        <v>PCGL</v>
      </c>
      <c r="J227">
        <v>1.45497E-2</v>
      </c>
      <c r="K227">
        <v>1.3266416510319E-2</v>
      </c>
      <c r="L227">
        <v>-8.9962500000000001E-2</v>
      </c>
    </row>
    <row r="228" spans="3:12" x14ac:dyDescent="0.3">
      <c r="C228" s="1" t="s">
        <v>59</v>
      </c>
      <c r="D228" s="1">
        <v>-71.156700000000001</v>
      </c>
      <c r="E228" s="1">
        <v>45.460099999999898</v>
      </c>
      <c r="F228" s="1">
        <v>901.67474000000004</v>
      </c>
      <c r="G228" s="1">
        <v>7.0000000000000007E-2</v>
      </c>
      <c r="H228" s="1">
        <v>1970</v>
      </c>
      <c r="I228" s="1" t="str">
        <f t="shared" si="3"/>
        <v>PCRU</v>
      </c>
      <c r="J228">
        <v>6.8230000000000001E-3</v>
      </c>
      <c r="K228">
        <v>1.2881801125703999E-2</v>
      </c>
      <c r="L228">
        <v>0.35348039999999997</v>
      </c>
    </row>
    <row r="229" spans="3:12" x14ac:dyDescent="0.3">
      <c r="C229" s="1" t="s">
        <v>60</v>
      </c>
      <c r="D229" s="1">
        <v>-119.4324</v>
      </c>
      <c r="E229" s="1">
        <v>37.261499999999899</v>
      </c>
      <c r="F229" s="1">
        <v>1792.5378000000001</v>
      </c>
      <c r="G229" s="1">
        <v>-3.0419999999999998</v>
      </c>
      <c r="H229" s="1">
        <v>1895</v>
      </c>
      <c r="I229" s="1" t="str">
        <f t="shared" si="3"/>
        <v>PIMO</v>
      </c>
      <c r="J229">
        <v>1.62414E-2</v>
      </c>
      <c r="K229">
        <v>-8.2698561601E-3</v>
      </c>
      <c r="L229">
        <v>2.8980599999999999E-2</v>
      </c>
    </row>
    <row r="230" spans="3:12" x14ac:dyDescent="0.3">
      <c r="C230" s="1" t="s">
        <v>60</v>
      </c>
      <c r="D230" s="1">
        <v>-119.4324</v>
      </c>
      <c r="E230" s="1">
        <v>37.261499999999899</v>
      </c>
      <c r="F230" s="1">
        <v>1792.5378000000001</v>
      </c>
      <c r="G230" s="1">
        <v>-2.4510000000000001</v>
      </c>
      <c r="H230" s="1">
        <v>1895</v>
      </c>
      <c r="I230" s="1" t="str">
        <f t="shared" si="3"/>
        <v>PIMO</v>
      </c>
      <c r="J230">
        <v>1.62414E-2</v>
      </c>
      <c r="K230">
        <v>-8.2698561601E-3</v>
      </c>
      <c r="L230">
        <v>2.8980599999999999E-2</v>
      </c>
    </row>
    <row r="231" spans="3:12" x14ac:dyDescent="0.3">
      <c r="C231" s="1" t="s">
        <v>60</v>
      </c>
      <c r="D231" s="1">
        <v>-119.4324</v>
      </c>
      <c r="E231" s="1">
        <v>37.261499999999899</v>
      </c>
      <c r="F231" s="1">
        <v>1792.5378000000001</v>
      </c>
      <c r="G231" s="1">
        <v>1.6739999999999999</v>
      </c>
      <c r="H231" s="1">
        <v>1895</v>
      </c>
      <c r="I231" s="1" t="str">
        <f t="shared" si="3"/>
        <v>PIMO</v>
      </c>
      <c r="J231">
        <v>1.62414E-2</v>
      </c>
      <c r="K231">
        <v>-8.2698561601E-3</v>
      </c>
      <c r="L231">
        <v>2.8980599999999999E-2</v>
      </c>
    </row>
    <row r="232" spans="3:12" x14ac:dyDescent="0.3">
      <c r="C232" s="1" t="s">
        <v>61</v>
      </c>
      <c r="D232" s="1">
        <v>10.8605</v>
      </c>
      <c r="E232" s="1">
        <v>45.7196</v>
      </c>
      <c r="F232" s="1">
        <v>1367.8629000000001</v>
      </c>
      <c r="G232" s="1">
        <v>2.5710000000000002</v>
      </c>
      <c r="H232" s="1">
        <v>1989</v>
      </c>
      <c r="I232" s="1" t="str">
        <f t="shared" si="3"/>
        <v>PIAL</v>
      </c>
      <c r="J232">
        <v>5.4095999999999997E-3</v>
      </c>
      <c r="K232">
        <v>-8.6163227016889995E-3</v>
      </c>
      <c r="L232">
        <v>-5.6400000000000002E-5</v>
      </c>
    </row>
    <row r="233" spans="3:12" x14ac:dyDescent="0.3">
      <c r="C233" s="1" t="s">
        <v>62</v>
      </c>
      <c r="D233" s="1">
        <v>120.99590000000001</v>
      </c>
      <c r="E233" s="1">
        <v>23.674499999999899</v>
      </c>
      <c r="F233" s="1">
        <v>1530.4131</v>
      </c>
      <c r="G233" s="1">
        <v>4.9530000000000003</v>
      </c>
      <c r="H233" s="1">
        <v>1939</v>
      </c>
      <c r="I233" s="1" t="str">
        <f t="shared" si="3"/>
        <v>PINI</v>
      </c>
      <c r="J233">
        <v>8.2176000000000003E-3</v>
      </c>
      <c r="K233">
        <v>4.0384615384619999E-3</v>
      </c>
      <c r="L233">
        <v>-4.5991400000000002E-2</v>
      </c>
    </row>
    <row r="234" spans="3:12" x14ac:dyDescent="0.3">
      <c r="C234" s="1" t="s">
        <v>61</v>
      </c>
      <c r="D234" s="1">
        <v>10.8605</v>
      </c>
      <c r="E234" s="1">
        <v>45.7196</v>
      </c>
      <c r="F234" s="1">
        <v>1367.8629000000001</v>
      </c>
      <c r="G234" s="1">
        <v>-3.1739999999999999</v>
      </c>
      <c r="H234" s="1">
        <v>1989</v>
      </c>
      <c r="I234" s="1" t="str">
        <f t="shared" si="3"/>
        <v>PIAL</v>
      </c>
      <c r="J234">
        <v>5.4095999999999997E-3</v>
      </c>
      <c r="K234">
        <v>-8.6163227016889995E-3</v>
      </c>
      <c r="L234">
        <v>-5.6400000000000002E-5</v>
      </c>
    </row>
    <row r="235" spans="3:12" x14ac:dyDescent="0.3">
      <c r="C235" s="1" t="s">
        <v>61</v>
      </c>
      <c r="D235" s="1">
        <v>-119.4324</v>
      </c>
      <c r="E235" s="1">
        <v>37.261499999999899</v>
      </c>
      <c r="F235" s="1">
        <v>1792.5378000000001</v>
      </c>
      <c r="G235" s="1">
        <v>-2.952</v>
      </c>
      <c r="H235" s="1">
        <v>1895</v>
      </c>
      <c r="I235" s="1" t="str">
        <f t="shared" si="3"/>
        <v>PIAL</v>
      </c>
      <c r="J235">
        <v>1.62414E-2</v>
      </c>
      <c r="K235">
        <v>-8.2698561601E-3</v>
      </c>
      <c r="L235">
        <v>2.8980599999999999E-2</v>
      </c>
    </row>
    <row r="236" spans="3:12" x14ac:dyDescent="0.3">
      <c r="C236" s="1" t="s">
        <v>63</v>
      </c>
      <c r="D236" s="1">
        <v>5.3539166666666702</v>
      </c>
      <c r="E236" s="1">
        <v>45.007733333333299</v>
      </c>
      <c r="F236" s="1">
        <v>761.62267999999995</v>
      </c>
      <c r="G236" s="1">
        <v>2.2909999999999999</v>
      </c>
      <c r="H236" s="1">
        <v>1905</v>
      </c>
      <c r="I236" s="1" t="str">
        <f t="shared" si="3"/>
        <v>PICE</v>
      </c>
      <c r="J236">
        <v>1.3298900000000001E-2</v>
      </c>
      <c r="K236">
        <v>-1.2570981863665001E-2</v>
      </c>
      <c r="L236">
        <v>-0.61279859999999997</v>
      </c>
    </row>
    <row r="237" spans="3:12" x14ac:dyDescent="0.3">
      <c r="C237" s="1" t="s">
        <v>64</v>
      </c>
      <c r="D237" s="1">
        <v>-120.3503</v>
      </c>
      <c r="E237" s="1">
        <v>39.061799999999899</v>
      </c>
      <c r="F237" s="1">
        <v>1967.6869999999999</v>
      </c>
      <c r="G237" s="1">
        <v>-0.56100000000000005</v>
      </c>
      <c r="H237" s="1">
        <v>1934</v>
      </c>
      <c r="I237" s="1" t="str">
        <f t="shared" si="3"/>
        <v>PICO</v>
      </c>
      <c r="J237">
        <v>1.9990600000000001E-2</v>
      </c>
      <c r="K237">
        <v>-3.4824577861162997E-2</v>
      </c>
      <c r="L237">
        <v>5.3423999999999999E-2</v>
      </c>
    </row>
    <row r="238" spans="3:12" x14ac:dyDescent="0.3">
      <c r="C238" s="1" t="s">
        <v>64</v>
      </c>
      <c r="D238" s="1">
        <v>-119.4324</v>
      </c>
      <c r="E238" s="1">
        <v>37.261499999999899</v>
      </c>
      <c r="F238" s="1">
        <v>1792.5378000000001</v>
      </c>
      <c r="G238" s="1">
        <v>0.79500000000000004</v>
      </c>
      <c r="H238" s="1">
        <v>1895</v>
      </c>
      <c r="I238" s="1" t="str">
        <f t="shared" si="3"/>
        <v>PICO</v>
      </c>
      <c r="J238">
        <v>1.62414E-2</v>
      </c>
      <c r="K238">
        <v>-8.2698561601E-3</v>
      </c>
      <c r="L238">
        <v>2.8980599999999999E-2</v>
      </c>
    </row>
    <row r="239" spans="3:12" x14ac:dyDescent="0.3">
      <c r="C239" s="1" t="s">
        <v>64</v>
      </c>
      <c r="D239" s="1">
        <v>-120.3503</v>
      </c>
      <c r="E239" s="1">
        <v>39.061799999999899</v>
      </c>
      <c r="F239" s="1">
        <v>1967.6869999999999</v>
      </c>
      <c r="G239" s="1">
        <v>0.95499999999999996</v>
      </c>
      <c r="H239" s="1">
        <v>1934</v>
      </c>
      <c r="I239" s="1" t="str">
        <f t="shared" si="3"/>
        <v>PICO</v>
      </c>
      <c r="J239">
        <v>1.9990600000000001E-2</v>
      </c>
      <c r="K239">
        <v>-3.4824577861162997E-2</v>
      </c>
      <c r="L239">
        <v>5.3423999999999999E-2</v>
      </c>
    </row>
    <row r="240" spans="3:12" x14ac:dyDescent="0.3">
      <c r="C240" s="1" t="s">
        <v>64</v>
      </c>
      <c r="D240" s="1">
        <v>-120.3503</v>
      </c>
      <c r="E240" s="1">
        <v>39.061799999999899</v>
      </c>
      <c r="F240" s="1">
        <v>1967.6869999999999</v>
      </c>
      <c r="G240" s="1">
        <v>1.1970000000000001</v>
      </c>
      <c r="H240" s="1">
        <v>1934</v>
      </c>
      <c r="I240" s="1" t="str">
        <f t="shared" si="3"/>
        <v>PICO</v>
      </c>
      <c r="J240">
        <v>1.9990600000000001E-2</v>
      </c>
      <c r="K240">
        <v>-3.4824577861162997E-2</v>
      </c>
      <c r="L240">
        <v>5.3423999999999999E-2</v>
      </c>
    </row>
    <row r="241" spans="3:12" x14ac:dyDescent="0.3">
      <c r="C241" s="1" t="s">
        <v>64</v>
      </c>
      <c r="D241" s="1">
        <v>-119.4324</v>
      </c>
      <c r="E241" s="1">
        <v>37.261499999999899</v>
      </c>
      <c r="F241" s="1">
        <v>1792.5378000000001</v>
      </c>
      <c r="G241" s="1">
        <v>3.0529999999999999</v>
      </c>
      <c r="H241" s="1">
        <v>1895</v>
      </c>
      <c r="I241" s="1" t="str">
        <f t="shared" si="3"/>
        <v>PICO</v>
      </c>
      <c r="J241">
        <v>1.62414E-2</v>
      </c>
      <c r="K241">
        <v>-8.2698561601E-3</v>
      </c>
      <c r="L241">
        <v>2.8980599999999999E-2</v>
      </c>
    </row>
    <row r="242" spans="3:12" x14ac:dyDescent="0.3">
      <c r="C242" s="1" t="s">
        <v>64</v>
      </c>
      <c r="D242" s="1">
        <v>-119.4324</v>
      </c>
      <c r="E242" s="1">
        <v>37.261499999999899</v>
      </c>
      <c r="F242" s="1">
        <v>1792.5378000000001</v>
      </c>
      <c r="G242" s="1">
        <v>0.73899999999999999</v>
      </c>
      <c r="H242" s="1">
        <v>1895</v>
      </c>
      <c r="I242" s="1" t="str">
        <f t="shared" si="3"/>
        <v>PICO</v>
      </c>
      <c r="J242">
        <v>1.62414E-2</v>
      </c>
      <c r="K242">
        <v>-8.2698561601E-3</v>
      </c>
      <c r="L242">
        <v>2.8980599999999999E-2</v>
      </c>
    </row>
    <row r="243" spans="3:12" x14ac:dyDescent="0.3">
      <c r="C243" s="1" t="s">
        <v>65</v>
      </c>
      <c r="D243" s="1">
        <v>-119.4324</v>
      </c>
      <c r="E243" s="1">
        <v>37.261499999999899</v>
      </c>
      <c r="F243" s="1">
        <v>1792.5378000000001</v>
      </c>
      <c r="G243" s="1">
        <v>1.0669999999999999</v>
      </c>
      <c r="H243" s="1">
        <v>1895</v>
      </c>
      <c r="I243" s="1" t="str">
        <f t="shared" si="3"/>
        <v>PIFL</v>
      </c>
      <c r="J243">
        <v>1.62414E-2</v>
      </c>
      <c r="K243">
        <v>-8.2698561601E-3</v>
      </c>
      <c r="L243">
        <v>2.8980599999999999E-2</v>
      </c>
    </row>
    <row r="244" spans="3:12" x14ac:dyDescent="0.3">
      <c r="C244" s="1" t="s">
        <v>66</v>
      </c>
      <c r="D244" s="1">
        <v>7.0965499999999997</v>
      </c>
      <c r="E244" s="1">
        <v>43.006549999999997</v>
      </c>
      <c r="F244" s="1" t="s">
        <v>112</v>
      </c>
      <c r="G244" s="1">
        <v>-0.5</v>
      </c>
      <c r="H244" s="1">
        <v>1981</v>
      </c>
      <c r="I244" s="1" t="str">
        <f t="shared" si="3"/>
        <v>PIHA</v>
      </c>
      <c r="J244" t="s">
        <v>112</v>
      </c>
      <c r="K244" t="s">
        <v>112</v>
      </c>
      <c r="L244" t="s">
        <v>112</v>
      </c>
    </row>
    <row r="245" spans="3:12" x14ac:dyDescent="0.3">
      <c r="C245" s="1" t="s">
        <v>60</v>
      </c>
      <c r="D245" s="1">
        <v>-119.4324</v>
      </c>
      <c r="E245" s="1">
        <v>37.261499999999899</v>
      </c>
      <c r="F245" s="1">
        <v>1792.5378000000001</v>
      </c>
      <c r="G245" s="1">
        <v>4.0140000000000002</v>
      </c>
      <c r="H245" s="1">
        <v>1895</v>
      </c>
      <c r="I245" s="1" t="str">
        <f t="shared" si="3"/>
        <v>PIMO</v>
      </c>
      <c r="J245">
        <v>1.62414E-2</v>
      </c>
      <c r="K245">
        <v>-8.2698561601E-3</v>
      </c>
      <c r="L245">
        <v>2.8980599999999999E-2</v>
      </c>
    </row>
    <row r="246" spans="3:12" x14ac:dyDescent="0.3">
      <c r="C246" s="1" t="s">
        <v>60</v>
      </c>
      <c r="D246" s="1">
        <v>-121.3335</v>
      </c>
      <c r="E246" s="1">
        <v>38.500700000000002</v>
      </c>
      <c r="F246" s="1">
        <v>17.796066</v>
      </c>
      <c r="G246" s="1">
        <v>-5.8630000000000004</v>
      </c>
      <c r="H246" s="1">
        <v>1930</v>
      </c>
      <c r="I246" s="1" t="str">
        <f t="shared" si="3"/>
        <v>PIMO</v>
      </c>
      <c r="J246">
        <v>7.2951999999999999E-3</v>
      </c>
      <c r="K246">
        <v>4.4734208880549998E-3</v>
      </c>
      <c r="L246">
        <v>3.0206E-3</v>
      </c>
    </row>
    <row r="247" spans="3:12" x14ac:dyDescent="0.3">
      <c r="C247" s="1" t="s">
        <v>60</v>
      </c>
      <c r="D247" s="1">
        <v>-119.4324</v>
      </c>
      <c r="E247" s="1">
        <v>37.261499999999899</v>
      </c>
      <c r="F247" s="1">
        <v>1792.5378000000001</v>
      </c>
      <c r="G247" s="1">
        <v>-3.2639999999999998</v>
      </c>
      <c r="H247" s="1">
        <v>1895</v>
      </c>
      <c r="I247" s="1" t="str">
        <f t="shared" si="3"/>
        <v>PIMO</v>
      </c>
      <c r="J247">
        <v>1.62414E-2</v>
      </c>
      <c r="K247">
        <v>-8.2698561601E-3</v>
      </c>
      <c r="L247">
        <v>2.8980599999999999E-2</v>
      </c>
    </row>
    <row r="248" spans="3:12" x14ac:dyDescent="0.3">
      <c r="C248" s="1" t="s">
        <v>60</v>
      </c>
      <c r="D248" s="1">
        <v>-120.3503</v>
      </c>
      <c r="E248" s="1">
        <v>39.061799999999899</v>
      </c>
      <c r="F248" s="1">
        <v>1967.6869999999999</v>
      </c>
      <c r="G248" s="1">
        <v>0.80300000000000005</v>
      </c>
      <c r="H248" s="1">
        <v>1934</v>
      </c>
      <c r="I248" s="1" t="str">
        <f t="shared" si="3"/>
        <v>PIMO</v>
      </c>
      <c r="J248">
        <v>1.9990600000000001E-2</v>
      </c>
      <c r="K248">
        <v>-3.4824577861162997E-2</v>
      </c>
      <c r="L248">
        <v>5.3423999999999999E-2</v>
      </c>
    </row>
    <row r="249" spans="3:12" x14ac:dyDescent="0.3">
      <c r="C249" s="1" t="s">
        <v>60</v>
      </c>
      <c r="D249" s="1">
        <v>-120.3503</v>
      </c>
      <c r="E249" s="1">
        <v>39.061799999999899</v>
      </c>
      <c r="F249" s="1">
        <v>1967.6869999999999</v>
      </c>
      <c r="G249" s="1">
        <v>1.427</v>
      </c>
      <c r="H249" s="1">
        <v>1934</v>
      </c>
      <c r="I249" s="1" t="str">
        <f t="shared" si="3"/>
        <v>PIMO</v>
      </c>
      <c r="J249">
        <v>1.9990600000000001E-2</v>
      </c>
      <c r="K249">
        <v>-3.4824577861162997E-2</v>
      </c>
      <c r="L249">
        <v>5.3423999999999999E-2</v>
      </c>
    </row>
    <row r="250" spans="3:12" x14ac:dyDescent="0.3">
      <c r="C250" s="1" t="s">
        <v>60</v>
      </c>
      <c r="D250" s="1">
        <v>-120.3503</v>
      </c>
      <c r="E250" s="1">
        <v>39.061799999999899</v>
      </c>
      <c r="F250" s="1">
        <v>1967.6869999999999</v>
      </c>
      <c r="G250" s="1">
        <v>1.86</v>
      </c>
      <c r="H250" s="1">
        <v>1934</v>
      </c>
      <c r="I250" s="1" t="str">
        <f t="shared" si="3"/>
        <v>PIMO</v>
      </c>
      <c r="J250">
        <v>1.9990600000000001E-2</v>
      </c>
      <c r="K250">
        <v>-3.4824577861162997E-2</v>
      </c>
      <c r="L250">
        <v>5.3423999999999999E-2</v>
      </c>
    </row>
    <row r="251" spans="3:12" x14ac:dyDescent="0.3">
      <c r="C251" s="1" t="s">
        <v>62</v>
      </c>
      <c r="D251" s="1">
        <v>7.0965499999999997</v>
      </c>
      <c r="E251" s="1">
        <v>43.006549999999997</v>
      </c>
      <c r="F251" s="1" t="s">
        <v>112</v>
      </c>
      <c r="G251" s="1">
        <v>-5.3570000000000002</v>
      </c>
      <c r="H251" s="1">
        <v>1981</v>
      </c>
      <c r="I251" s="1" t="str">
        <f t="shared" si="3"/>
        <v>PINI</v>
      </c>
      <c r="J251" t="s">
        <v>112</v>
      </c>
      <c r="K251" t="s">
        <v>112</v>
      </c>
      <c r="L251" t="s">
        <v>112</v>
      </c>
    </row>
    <row r="252" spans="3:12" x14ac:dyDescent="0.3">
      <c r="C252" s="1" t="s">
        <v>62</v>
      </c>
      <c r="D252" s="1">
        <v>10.8605</v>
      </c>
      <c r="E252" s="1">
        <v>45.7196</v>
      </c>
      <c r="F252" s="1">
        <v>1367.8629000000001</v>
      </c>
      <c r="G252" s="1">
        <v>-3.1139999999999999</v>
      </c>
      <c r="H252" s="1">
        <v>1989</v>
      </c>
      <c r="I252" s="1" t="str">
        <f t="shared" si="3"/>
        <v>PINI</v>
      </c>
      <c r="J252">
        <v>5.4095999999999997E-3</v>
      </c>
      <c r="K252">
        <v>-8.6163227016889995E-3</v>
      </c>
      <c r="L252">
        <v>-5.6400000000000002E-5</v>
      </c>
    </row>
    <row r="253" spans="3:12" x14ac:dyDescent="0.3">
      <c r="C253" s="1" t="s">
        <v>62</v>
      </c>
      <c r="D253" s="1">
        <v>7.0965499999999997</v>
      </c>
      <c r="E253" s="1">
        <v>43.006549999999997</v>
      </c>
      <c r="F253" s="1" t="s">
        <v>112</v>
      </c>
      <c r="G253" s="1">
        <v>1.071</v>
      </c>
      <c r="H253" s="1">
        <v>1981</v>
      </c>
      <c r="I253" s="1" t="str">
        <f t="shared" si="3"/>
        <v>PINI</v>
      </c>
      <c r="J253" t="s">
        <v>112</v>
      </c>
      <c r="K253" t="s">
        <v>112</v>
      </c>
      <c r="L253" t="s">
        <v>112</v>
      </c>
    </row>
    <row r="254" spans="3:12" x14ac:dyDescent="0.3">
      <c r="C254" s="1" t="s">
        <v>67</v>
      </c>
      <c r="D254" s="1">
        <v>7.0965499999999997</v>
      </c>
      <c r="E254" s="1">
        <v>43.006549999999997</v>
      </c>
      <c r="F254" s="1" t="s">
        <v>112</v>
      </c>
      <c r="G254" s="1">
        <v>0.64300000000000002</v>
      </c>
      <c r="H254" s="1">
        <v>1981</v>
      </c>
      <c r="I254" s="1" t="str">
        <f t="shared" si="3"/>
        <v>PIPI</v>
      </c>
      <c r="J254" t="s">
        <v>112</v>
      </c>
      <c r="K254" t="s">
        <v>112</v>
      </c>
      <c r="L254" t="s">
        <v>112</v>
      </c>
    </row>
    <row r="255" spans="3:12" x14ac:dyDescent="0.3">
      <c r="C255" s="1" t="s">
        <v>68</v>
      </c>
      <c r="D255" s="1">
        <v>-120.3503</v>
      </c>
      <c r="E255" s="1">
        <v>39.061799999999899</v>
      </c>
      <c r="F255" s="1">
        <v>1967.6869999999999</v>
      </c>
      <c r="G255" s="1">
        <v>0</v>
      </c>
      <c r="H255" s="1">
        <v>1934</v>
      </c>
      <c r="I255" s="1" t="str">
        <f t="shared" si="3"/>
        <v>PIPO</v>
      </c>
      <c r="J255">
        <v>1.9990600000000001E-2</v>
      </c>
      <c r="K255">
        <v>-3.4824577861162997E-2</v>
      </c>
      <c r="L255">
        <v>5.3423999999999999E-2</v>
      </c>
    </row>
    <row r="256" spans="3:12" x14ac:dyDescent="0.3">
      <c r="C256" s="1" t="s">
        <v>68</v>
      </c>
      <c r="D256" s="1">
        <v>-119.4324</v>
      </c>
      <c r="E256" s="1">
        <v>37.261499999999899</v>
      </c>
      <c r="F256" s="1">
        <v>1792.5378000000001</v>
      </c>
      <c r="G256" s="1">
        <v>0.57799999999999996</v>
      </c>
      <c r="H256" s="1">
        <v>1895</v>
      </c>
      <c r="I256" s="1" t="str">
        <f t="shared" si="3"/>
        <v>PIPO</v>
      </c>
      <c r="J256">
        <v>1.62414E-2</v>
      </c>
      <c r="K256">
        <v>-8.2698561601E-3</v>
      </c>
      <c r="L256">
        <v>2.8980599999999999E-2</v>
      </c>
    </row>
    <row r="257" spans="3:12" x14ac:dyDescent="0.3">
      <c r="C257" s="1" t="s">
        <v>68</v>
      </c>
      <c r="D257" s="1">
        <v>-121.3335</v>
      </c>
      <c r="E257" s="1">
        <v>38.500700000000002</v>
      </c>
      <c r="F257" s="1">
        <v>17.796066</v>
      </c>
      <c r="G257" s="1">
        <v>0.997</v>
      </c>
      <c r="H257" s="1">
        <v>1930</v>
      </c>
      <c r="I257" s="1" t="str">
        <f t="shared" si="3"/>
        <v>PIPO</v>
      </c>
      <c r="J257">
        <v>7.2951999999999999E-3</v>
      </c>
      <c r="K257">
        <v>4.4734208880549998E-3</v>
      </c>
      <c r="L257">
        <v>3.0206E-3</v>
      </c>
    </row>
    <row r="258" spans="3:12" x14ac:dyDescent="0.3">
      <c r="C258" s="1" t="s">
        <v>69</v>
      </c>
      <c r="D258" s="1">
        <v>2.0886</v>
      </c>
      <c r="E258" s="1">
        <v>46.670499999999898</v>
      </c>
      <c r="F258" s="1">
        <v>264.83069</v>
      </c>
      <c r="G258" s="1">
        <v>-0.86199999999999999</v>
      </c>
      <c r="H258" s="1">
        <v>1914</v>
      </c>
      <c r="I258" s="1" t="str">
        <f t="shared" si="3"/>
        <v>PISY</v>
      </c>
      <c r="J258">
        <v>1.49062E-2</v>
      </c>
      <c r="K258">
        <v>3.8769856160100001E-2</v>
      </c>
      <c r="L258">
        <v>-0.25414009999999998</v>
      </c>
    </row>
    <row r="259" spans="3:12" x14ac:dyDescent="0.3">
      <c r="C259" s="1" t="s">
        <v>69</v>
      </c>
      <c r="D259" s="1">
        <v>7.0965499999999997</v>
      </c>
      <c r="E259" s="1">
        <v>43.006549999999997</v>
      </c>
      <c r="F259" s="1" t="s">
        <v>112</v>
      </c>
      <c r="G259" s="1">
        <v>-0.85699999999999998</v>
      </c>
      <c r="H259" s="1">
        <v>1981</v>
      </c>
      <c r="I259" s="1" t="str">
        <f t="shared" si="3"/>
        <v>PISY</v>
      </c>
      <c r="J259" t="s">
        <v>112</v>
      </c>
      <c r="K259" t="s">
        <v>112</v>
      </c>
      <c r="L259" t="s">
        <v>112</v>
      </c>
    </row>
    <row r="260" spans="3:12" x14ac:dyDescent="0.3">
      <c r="C260" s="1" t="s">
        <v>69</v>
      </c>
      <c r="D260" s="1">
        <v>-3.9479000000000002</v>
      </c>
      <c r="E260" s="1">
        <v>40.688699999999898</v>
      </c>
      <c r="F260" s="1">
        <v>961.90186000000006</v>
      </c>
      <c r="G260" s="1">
        <v>-0.54200000000000004</v>
      </c>
      <c r="H260" s="1">
        <v>1965</v>
      </c>
      <c r="I260" s="1" t="str">
        <f t="shared" ref="I260:I323" si="4">RIGHT(LEFT(C260,5),4)</f>
        <v>PISY</v>
      </c>
      <c r="J260">
        <v>2.2770499999999999E-2</v>
      </c>
      <c r="K260">
        <v>-3.0929956222638999E-2</v>
      </c>
      <c r="L260">
        <v>3.4293299999999999E-2</v>
      </c>
    </row>
    <row r="261" spans="3:12" x14ac:dyDescent="0.3">
      <c r="C261" s="1" t="s">
        <v>69</v>
      </c>
      <c r="D261" s="1">
        <v>2.0886</v>
      </c>
      <c r="E261" s="1">
        <v>46.670499999999898</v>
      </c>
      <c r="F261" s="1">
        <v>264.83069</v>
      </c>
      <c r="G261" s="1">
        <v>-0.49</v>
      </c>
      <c r="H261" s="1">
        <v>1914</v>
      </c>
      <c r="I261" s="1" t="str">
        <f t="shared" si="4"/>
        <v>PISY</v>
      </c>
      <c r="J261">
        <v>1.49062E-2</v>
      </c>
      <c r="K261">
        <v>3.8769856160100001E-2</v>
      </c>
      <c r="L261">
        <v>-0.25414009999999998</v>
      </c>
    </row>
    <row r="262" spans="3:12" x14ac:dyDescent="0.3">
      <c r="C262" s="1" t="s">
        <v>69</v>
      </c>
      <c r="D262" s="1">
        <v>-3.9479000000000002</v>
      </c>
      <c r="E262" s="1">
        <v>40.688699999999898</v>
      </c>
      <c r="F262" s="1">
        <v>961.90186000000006</v>
      </c>
      <c r="G262" s="1">
        <v>-0.438</v>
      </c>
      <c r="H262" s="1">
        <v>1965</v>
      </c>
      <c r="I262" s="1" t="str">
        <f t="shared" si="4"/>
        <v>PISY</v>
      </c>
      <c r="J262">
        <v>2.2770499999999999E-2</v>
      </c>
      <c r="K262">
        <v>-3.0929956222638999E-2</v>
      </c>
      <c r="L262">
        <v>3.4293299999999999E-2</v>
      </c>
    </row>
    <row r="263" spans="3:12" x14ac:dyDescent="0.3">
      <c r="C263" s="1" t="s">
        <v>69</v>
      </c>
      <c r="D263" s="1">
        <v>19.6858</v>
      </c>
      <c r="E263" s="1">
        <v>48.844700000000003</v>
      </c>
      <c r="F263" s="1">
        <v>701.47131000000002</v>
      </c>
      <c r="G263" s="1">
        <v>-0.377</v>
      </c>
      <c r="H263" s="1">
        <v>1966</v>
      </c>
      <c r="I263" s="1" t="str">
        <f t="shared" si="4"/>
        <v>PISY</v>
      </c>
      <c r="J263">
        <v>-1.7639100000000001E-2</v>
      </c>
      <c r="K263">
        <v>-3.2774233896185001E-2</v>
      </c>
      <c r="L263">
        <v>-0.5645559</v>
      </c>
    </row>
    <row r="264" spans="3:12" x14ac:dyDescent="0.3">
      <c r="C264" s="1" t="s">
        <v>69</v>
      </c>
      <c r="D264" s="1">
        <v>-3.9479000000000002</v>
      </c>
      <c r="E264" s="1">
        <v>40.688699999999898</v>
      </c>
      <c r="F264" s="1">
        <v>961.90186000000006</v>
      </c>
      <c r="G264" s="1">
        <v>-0.33300000000000002</v>
      </c>
      <c r="H264" s="1">
        <v>1965</v>
      </c>
      <c r="I264" s="1" t="str">
        <f t="shared" si="4"/>
        <v>PISY</v>
      </c>
      <c r="J264">
        <v>2.2770499999999999E-2</v>
      </c>
      <c r="K264">
        <v>-3.0929956222638999E-2</v>
      </c>
      <c r="L264">
        <v>3.4293299999999999E-2</v>
      </c>
    </row>
    <row r="265" spans="3:12" x14ac:dyDescent="0.3">
      <c r="C265" s="1" t="s">
        <v>69</v>
      </c>
      <c r="D265" s="1">
        <v>5.3539166666666702</v>
      </c>
      <c r="E265" s="1">
        <v>45.007733333333299</v>
      </c>
      <c r="F265" s="1">
        <v>761.62267999999995</v>
      </c>
      <c r="G265" s="1">
        <v>-0.23300000000000001</v>
      </c>
      <c r="H265" s="1">
        <v>1905</v>
      </c>
      <c r="I265" s="1" t="str">
        <f t="shared" si="4"/>
        <v>PISY</v>
      </c>
      <c r="J265">
        <v>1.3298900000000001E-2</v>
      </c>
      <c r="K265">
        <v>-1.2570981863665001E-2</v>
      </c>
      <c r="L265">
        <v>-0.61279859999999997</v>
      </c>
    </row>
    <row r="266" spans="3:12" x14ac:dyDescent="0.3">
      <c r="C266" s="1" t="s">
        <v>69</v>
      </c>
      <c r="D266" s="1">
        <v>19.6858</v>
      </c>
      <c r="E266" s="1">
        <v>48.844700000000003</v>
      </c>
      <c r="F266" s="1">
        <v>701.47131000000002</v>
      </c>
      <c r="G266" s="1">
        <v>-1.4E-2</v>
      </c>
      <c r="H266" s="1">
        <v>1966</v>
      </c>
      <c r="I266" s="1" t="str">
        <f t="shared" si="4"/>
        <v>PISY</v>
      </c>
      <c r="J266">
        <v>-1.7639100000000001E-2</v>
      </c>
      <c r="K266">
        <v>-3.2774233896185001E-2</v>
      </c>
      <c r="L266">
        <v>-0.5645559</v>
      </c>
    </row>
    <row r="267" spans="3:12" x14ac:dyDescent="0.3">
      <c r="C267" s="1" t="s">
        <v>69</v>
      </c>
      <c r="D267" s="1">
        <v>19.6858</v>
      </c>
      <c r="E267" s="1">
        <v>48.844700000000003</v>
      </c>
      <c r="F267" s="1">
        <v>701.47131000000002</v>
      </c>
      <c r="G267" s="1">
        <v>0</v>
      </c>
      <c r="H267" s="1">
        <v>1966</v>
      </c>
      <c r="I267" s="1" t="str">
        <f t="shared" si="4"/>
        <v>PISY</v>
      </c>
      <c r="J267">
        <v>-1.7639100000000001E-2</v>
      </c>
      <c r="K267">
        <v>-3.2774233896185001E-2</v>
      </c>
      <c r="L267">
        <v>-0.5645559</v>
      </c>
    </row>
    <row r="268" spans="3:12" x14ac:dyDescent="0.3">
      <c r="C268" s="1" t="s">
        <v>69</v>
      </c>
      <c r="D268" s="1">
        <v>13.8377</v>
      </c>
      <c r="E268" s="1">
        <v>62.2349999999999</v>
      </c>
      <c r="F268" s="1">
        <v>402.63736</v>
      </c>
      <c r="G268" s="1">
        <v>0.35</v>
      </c>
      <c r="H268" s="1">
        <v>1915</v>
      </c>
      <c r="I268" s="1" t="str">
        <f t="shared" si="4"/>
        <v>PISY</v>
      </c>
      <c r="J268">
        <v>7.2732999999999999E-3</v>
      </c>
      <c r="K268">
        <v>3.5175422138837002E-2</v>
      </c>
      <c r="L268">
        <v>-0.40224520000000002</v>
      </c>
    </row>
    <row r="269" spans="3:12" x14ac:dyDescent="0.3">
      <c r="C269" s="1" t="s">
        <v>69</v>
      </c>
      <c r="D269" s="1">
        <v>-0.96830000000000005</v>
      </c>
      <c r="E269" s="1">
        <v>42.850900000000003</v>
      </c>
      <c r="F269" s="1">
        <v>1479.7910999999999</v>
      </c>
      <c r="G269" s="1">
        <v>0.5</v>
      </c>
      <c r="H269" s="1">
        <v>1971</v>
      </c>
      <c r="I269" s="1" t="str">
        <f t="shared" si="4"/>
        <v>PISY</v>
      </c>
      <c r="J269">
        <v>2.1006899999999998E-2</v>
      </c>
      <c r="K269">
        <v>-1.9869606003752E-2</v>
      </c>
      <c r="L269">
        <v>-0.3330362</v>
      </c>
    </row>
    <row r="270" spans="3:12" x14ac:dyDescent="0.3">
      <c r="C270" s="1" t="s">
        <v>69</v>
      </c>
      <c r="D270" s="1">
        <v>33.547899999999899</v>
      </c>
      <c r="E270" s="1">
        <v>67.695300000000003</v>
      </c>
      <c r="F270" s="1">
        <v>875.46960000000001</v>
      </c>
      <c r="G270" s="1">
        <v>0.54</v>
      </c>
      <c r="H270" s="1">
        <v>1958</v>
      </c>
      <c r="I270" s="1" t="str">
        <f t="shared" si="4"/>
        <v>PISY</v>
      </c>
      <c r="J270">
        <v>-5.1595E-3</v>
      </c>
      <c r="K270">
        <v>6.2992495309570004E-3</v>
      </c>
      <c r="L270">
        <v>2.7986999999999999E-3</v>
      </c>
    </row>
    <row r="271" spans="3:12" x14ac:dyDescent="0.3">
      <c r="C271" s="1" t="s">
        <v>69</v>
      </c>
      <c r="D271" s="1">
        <v>2.0886</v>
      </c>
      <c r="E271" s="1">
        <v>46.670499999999898</v>
      </c>
      <c r="F271" s="1">
        <v>264.83069</v>
      </c>
      <c r="G271" s="1">
        <v>0.621</v>
      </c>
      <c r="H271" s="1">
        <v>1914</v>
      </c>
      <c r="I271" s="1" t="str">
        <f t="shared" si="4"/>
        <v>PISY</v>
      </c>
      <c r="J271">
        <v>1.49062E-2</v>
      </c>
      <c r="K271">
        <v>3.8769856160100001E-2</v>
      </c>
      <c r="L271">
        <v>-0.25414009999999998</v>
      </c>
    </row>
    <row r="272" spans="3:12" x14ac:dyDescent="0.3">
      <c r="C272" s="1" t="s">
        <v>69</v>
      </c>
      <c r="D272" s="1">
        <v>13.8377</v>
      </c>
      <c r="E272" s="1">
        <v>62.2349999999999</v>
      </c>
      <c r="F272" s="1">
        <v>402.63736</v>
      </c>
      <c r="G272" s="1">
        <v>0.81</v>
      </c>
      <c r="H272" s="1">
        <v>1915</v>
      </c>
      <c r="I272" s="1" t="str">
        <f t="shared" si="4"/>
        <v>PISY</v>
      </c>
      <c r="J272">
        <v>7.2732999999999999E-3</v>
      </c>
      <c r="K272">
        <v>3.5175422138837002E-2</v>
      </c>
      <c r="L272">
        <v>-0.40224520000000002</v>
      </c>
    </row>
    <row r="273" spans="3:12" x14ac:dyDescent="0.3">
      <c r="C273" s="1" t="s">
        <v>69</v>
      </c>
      <c r="D273" s="1">
        <v>-0.96830000000000005</v>
      </c>
      <c r="E273" s="1">
        <v>42.850900000000003</v>
      </c>
      <c r="F273" s="1">
        <v>1479.7910999999999</v>
      </c>
      <c r="G273" s="1">
        <v>1.25</v>
      </c>
      <c r="H273" s="1">
        <v>1971</v>
      </c>
      <c r="I273" s="1" t="str">
        <f t="shared" si="4"/>
        <v>PISY</v>
      </c>
      <c r="J273">
        <v>2.1006899999999998E-2</v>
      </c>
      <c r="K273">
        <v>-1.9869606003752E-2</v>
      </c>
      <c r="L273">
        <v>-0.3330362</v>
      </c>
    </row>
    <row r="274" spans="3:12" x14ac:dyDescent="0.3">
      <c r="C274" s="1" t="s">
        <v>69</v>
      </c>
      <c r="D274" s="1">
        <v>13.8377</v>
      </c>
      <c r="E274" s="1">
        <v>62.2349999999999</v>
      </c>
      <c r="F274" s="1">
        <v>402.63736</v>
      </c>
      <c r="G274" s="1">
        <v>1.66</v>
      </c>
      <c r="H274" s="1">
        <v>1975</v>
      </c>
      <c r="I274" s="1" t="str">
        <f t="shared" si="4"/>
        <v>PISY</v>
      </c>
      <c r="J274">
        <v>7.2732999999999999E-3</v>
      </c>
      <c r="K274">
        <v>3.5175422138837002E-2</v>
      </c>
      <c r="L274">
        <v>-0.40224520000000002</v>
      </c>
    </row>
    <row r="275" spans="3:12" x14ac:dyDescent="0.3">
      <c r="C275" s="1" t="s">
        <v>69</v>
      </c>
      <c r="D275" s="1">
        <v>10.8605</v>
      </c>
      <c r="E275" s="1">
        <v>45.7196</v>
      </c>
      <c r="F275" s="1">
        <v>1367.8629000000001</v>
      </c>
      <c r="G275" s="1">
        <v>5.2240000000000002</v>
      </c>
      <c r="H275" s="1">
        <v>1989</v>
      </c>
      <c r="I275" s="1" t="str">
        <f t="shared" si="4"/>
        <v>PISY</v>
      </c>
      <c r="J275">
        <v>5.4095999999999997E-3</v>
      </c>
      <c r="K275">
        <v>-8.6163227016889995E-3</v>
      </c>
      <c r="L275">
        <v>-5.6400000000000002E-5</v>
      </c>
    </row>
    <row r="276" spans="3:12" x14ac:dyDescent="0.3">
      <c r="C276" s="1" t="s">
        <v>69</v>
      </c>
      <c r="D276" s="1">
        <v>13.0769</v>
      </c>
      <c r="E276" s="1">
        <v>63.4405</v>
      </c>
      <c r="F276" s="1">
        <v>1097.6077</v>
      </c>
      <c r="G276" s="1">
        <v>6.6669999999999998</v>
      </c>
      <c r="H276" s="1">
        <v>1948</v>
      </c>
      <c r="I276" s="1" t="str">
        <f t="shared" si="4"/>
        <v>PISY</v>
      </c>
      <c r="J276">
        <v>7.0419000000000002E-3</v>
      </c>
      <c r="K276">
        <v>2.6615071919949999E-2</v>
      </c>
      <c r="L276">
        <v>-0.1774985</v>
      </c>
    </row>
    <row r="277" spans="3:12" x14ac:dyDescent="0.3">
      <c r="C277" s="1" t="s">
        <v>64</v>
      </c>
      <c r="D277" s="1">
        <v>-119.4324</v>
      </c>
      <c r="E277" s="1">
        <v>37.261499999999899</v>
      </c>
      <c r="F277" s="1">
        <v>1792.5378000000001</v>
      </c>
      <c r="G277" s="1">
        <v>-0.14199999999999999</v>
      </c>
      <c r="H277" s="1">
        <v>1895</v>
      </c>
      <c r="I277" s="1" t="str">
        <f t="shared" si="4"/>
        <v>PICO</v>
      </c>
      <c r="J277">
        <v>1.62414E-2</v>
      </c>
      <c r="K277">
        <v>-8.2698561601E-3</v>
      </c>
      <c r="L277">
        <v>2.8980599999999999E-2</v>
      </c>
    </row>
    <row r="278" spans="3:12" x14ac:dyDescent="0.3">
      <c r="C278" s="1" t="s">
        <v>61</v>
      </c>
      <c r="D278" s="1">
        <v>-155.27340000000001</v>
      </c>
      <c r="E278" s="1">
        <v>19.430399999999899</v>
      </c>
      <c r="F278" s="1">
        <v>1133.0050000000001</v>
      </c>
      <c r="G278" s="1">
        <v>0</v>
      </c>
      <c r="H278" s="1">
        <v>1966</v>
      </c>
      <c r="I278" s="1" t="str">
        <f t="shared" si="4"/>
        <v>PIAL</v>
      </c>
      <c r="J278">
        <v>3.3017499999999998E-2</v>
      </c>
      <c r="K278">
        <v>1.6208567854909001E-2</v>
      </c>
      <c r="L278">
        <v>0.24687290000000001</v>
      </c>
    </row>
    <row r="279" spans="3:12" x14ac:dyDescent="0.3">
      <c r="C279" s="1" t="s">
        <v>61</v>
      </c>
      <c r="D279" s="1">
        <v>-155.27340000000001</v>
      </c>
      <c r="E279" s="1">
        <v>19.430399999999899</v>
      </c>
      <c r="F279" s="1">
        <v>1133.0050000000001</v>
      </c>
      <c r="G279" s="1">
        <v>0</v>
      </c>
      <c r="H279" s="1">
        <v>1966</v>
      </c>
      <c r="I279" s="1" t="str">
        <f t="shared" si="4"/>
        <v>PIAL</v>
      </c>
      <c r="J279">
        <v>3.3017499999999998E-2</v>
      </c>
      <c r="K279">
        <v>1.6208567854909001E-2</v>
      </c>
      <c r="L279">
        <v>0.24687290000000001</v>
      </c>
    </row>
    <row r="280" spans="3:12" x14ac:dyDescent="0.3">
      <c r="C280" s="1" t="s">
        <v>61</v>
      </c>
      <c r="D280" s="1">
        <v>-155.27340000000001</v>
      </c>
      <c r="E280" s="1">
        <v>19.430399999999899</v>
      </c>
      <c r="F280" s="1">
        <v>1133.0050000000001</v>
      </c>
      <c r="G280" s="1">
        <v>0.191</v>
      </c>
      <c r="H280" s="1">
        <v>1966</v>
      </c>
      <c r="I280" s="1" t="str">
        <f t="shared" si="4"/>
        <v>PIAL</v>
      </c>
      <c r="J280">
        <v>3.3017499999999998E-2</v>
      </c>
      <c r="K280">
        <v>1.6208567854909001E-2</v>
      </c>
      <c r="L280">
        <v>0.24687290000000001</v>
      </c>
    </row>
    <row r="281" spans="3:12" x14ac:dyDescent="0.3">
      <c r="C281" s="1" t="s">
        <v>70</v>
      </c>
      <c r="D281" s="1">
        <v>7.0965499999999997</v>
      </c>
      <c r="E281" s="1">
        <v>43.006549999999997</v>
      </c>
      <c r="F281" s="1" t="s">
        <v>112</v>
      </c>
      <c r="G281" s="1">
        <v>-0.78600000000000003</v>
      </c>
      <c r="H281" s="1">
        <v>1981</v>
      </c>
      <c r="I281" s="1" t="str">
        <f t="shared" si="4"/>
        <v>PITE</v>
      </c>
      <c r="J281" t="s">
        <v>112</v>
      </c>
      <c r="K281" t="s">
        <v>112</v>
      </c>
      <c r="L281" t="s">
        <v>112</v>
      </c>
    </row>
    <row r="282" spans="3:12" x14ac:dyDescent="0.3">
      <c r="C282" s="1" t="s">
        <v>70</v>
      </c>
      <c r="D282" s="1">
        <v>10.8605</v>
      </c>
      <c r="E282" s="1">
        <v>45.7196</v>
      </c>
      <c r="F282" s="1">
        <v>1367.8629000000001</v>
      </c>
      <c r="G282" s="1">
        <v>2.4209999999999998</v>
      </c>
      <c r="H282" s="1">
        <v>1989</v>
      </c>
      <c r="I282" s="1" t="str">
        <f t="shared" si="4"/>
        <v>PITE</v>
      </c>
      <c r="J282">
        <v>5.4095999999999997E-3</v>
      </c>
      <c r="K282">
        <v>-8.6163227016889995E-3</v>
      </c>
      <c r="L282">
        <v>-5.6400000000000002E-5</v>
      </c>
    </row>
    <row r="283" spans="3:12" x14ac:dyDescent="0.3">
      <c r="C283" s="1" t="s">
        <v>71</v>
      </c>
      <c r="D283" s="1">
        <v>-119.4324</v>
      </c>
      <c r="E283" s="1">
        <v>37.261499999999899</v>
      </c>
      <c r="F283" s="1">
        <v>1792.5378000000001</v>
      </c>
      <c r="G283" s="1">
        <v>-1.4</v>
      </c>
      <c r="H283" s="1">
        <v>1895</v>
      </c>
      <c r="I283" s="1" t="str">
        <f t="shared" si="4"/>
        <v>PLRA</v>
      </c>
      <c r="J283">
        <v>1.62414E-2</v>
      </c>
      <c r="K283">
        <v>-8.2698561601E-3</v>
      </c>
      <c r="L283">
        <v>2.8980599999999999E-2</v>
      </c>
    </row>
    <row r="284" spans="3:12" x14ac:dyDescent="0.3">
      <c r="C284" s="1" t="s">
        <v>72</v>
      </c>
      <c r="D284" s="1">
        <v>7.9573</v>
      </c>
      <c r="E284" s="1">
        <v>60.697299999999899</v>
      </c>
      <c r="F284" s="1">
        <v>1156.1946</v>
      </c>
      <c r="G284" s="1">
        <v>-0.61099999999999999</v>
      </c>
      <c r="H284" s="1">
        <v>2001</v>
      </c>
      <c r="I284" s="1" t="str">
        <f t="shared" si="4"/>
        <v>POAL</v>
      </c>
      <c r="J284">
        <v>5.3502000000000003E-3</v>
      </c>
      <c r="K284">
        <v>4.5384615384620004E-3</v>
      </c>
      <c r="L284">
        <v>-0.11542529999999999</v>
      </c>
    </row>
    <row r="285" spans="3:12" x14ac:dyDescent="0.3">
      <c r="C285" s="1" t="s">
        <v>72</v>
      </c>
      <c r="D285" s="1">
        <v>24.6996</v>
      </c>
      <c r="E285" s="1">
        <v>69.812799999999896</v>
      </c>
      <c r="F285" s="1">
        <v>412.95316000000003</v>
      </c>
      <c r="G285" s="1">
        <v>-0.44400000000000001</v>
      </c>
      <c r="H285" s="1">
        <v>1982</v>
      </c>
      <c r="I285" s="1" t="str">
        <f t="shared" si="4"/>
        <v>POAL</v>
      </c>
      <c r="J285">
        <v>2.7829999999999999E-3</v>
      </c>
      <c r="K285">
        <v>-5.2529706066289997E-3</v>
      </c>
      <c r="L285">
        <v>-4.50312E-2</v>
      </c>
    </row>
    <row r="286" spans="3:12" x14ac:dyDescent="0.3">
      <c r="C286" s="1" t="s">
        <v>72</v>
      </c>
      <c r="D286" s="1">
        <v>10.8605</v>
      </c>
      <c r="E286" s="1">
        <v>45.7196</v>
      </c>
      <c r="F286" s="1">
        <v>1367.8629000000001</v>
      </c>
      <c r="G286" s="1">
        <v>-0.27700000000000002</v>
      </c>
      <c r="H286" s="1">
        <v>1989</v>
      </c>
      <c r="I286" s="1" t="str">
        <f t="shared" si="4"/>
        <v>POAL</v>
      </c>
      <c r="J286">
        <v>5.4095999999999997E-3</v>
      </c>
      <c r="K286">
        <v>-8.6163227016889995E-3</v>
      </c>
      <c r="L286">
        <v>-5.6400000000000002E-5</v>
      </c>
    </row>
    <row r="287" spans="3:12" x14ac:dyDescent="0.3">
      <c r="C287" s="1" t="s">
        <v>72</v>
      </c>
      <c r="D287" s="1">
        <v>24.6996</v>
      </c>
      <c r="E287" s="1">
        <v>69.812799999999896</v>
      </c>
      <c r="F287" s="1">
        <v>412.95316000000003</v>
      </c>
      <c r="G287" s="1">
        <v>-7.3999999999999996E-2</v>
      </c>
      <c r="H287" s="1">
        <v>1982</v>
      </c>
      <c r="I287" s="1" t="str">
        <f t="shared" si="4"/>
        <v>POAL</v>
      </c>
      <c r="J287">
        <v>2.7829999999999999E-3</v>
      </c>
      <c r="K287">
        <v>-5.2529706066289997E-3</v>
      </c>
      <c r="L287">
        <v>-4.50312E-2</v>
      </c>
    </row>
    <row r="288" spans="3:12" x14ac:dyDescent="0.3">
      <c r="C288" s="1" t="s">
        <v>72</v>
      </c>
      <c r="D288" s="1">
        <v>9.9322999999999997</v>
      </c>
      <c r="E288" s="1">
        <v>46.615900000000003</v>
      </c>
      <c r="F288" s="1">
        <v>2531.1504</v>
      </c>
      <c r="G288" s="1">
        <v>0.16</v>
      </c>
      <c r="H288" s="1">
        <v>1835</v>
      </c>
      <c r="I288" s="1" t="str">
        <f t="shared" si="4"/>
        <v>POAL</v>
      </c>
      <c r="J288">
        <v>1.02408E-2</v>
      </c>
      <c r="K288">
        <v>7.003439649781E-3</v>
      </c>
      <c r="L288">
        <v>-0.1449375</v>
      </c>
    </row>
    <row r="289" spans="3:12" x14ac:dyDescent="0.3">
      <c r="C289" s="1" t="s">
        <v>72</v>
      </c>
      <c r="D289" s="1">
        <v>10.0448</v>
      </c>
      <c r="E289" s="1">
        <v>46.602699999999899</v>
      </c>
      <c r="F289" s="1">
        <v>1978.8960999999999</v>
      </c>
      <c r="G289" s="1">
        <v>0.48</v>
      </c>
      <c r="H289" s="1">
        <v>1912</v>
      </c>
      <c r="I289" s="1" t="str">
        <f t="shared" si="4"/>
        <v>POAL</v>
      </c>
      <c r="J289">
        <v>1.1554099999999999E-2</v>
      </c>
      <c r="K289">
        <v>1.3260162601626E-2</v>
      </c>
      <c r="L289">
        <v>-0.16215450000000001</v>
      </c>
    </row>
    <row r="290" spans="3:12" x14ac:dyDescent="0.3">
      <c r="C290" s="1" t="s">
        <v>72</v>
      </c>
      <c r="D290" s="1">
        <v>9.9122000000000003</v>
      </c>
      <c r="E290" s="1">
        <v>46.349400000000003</v>
      </c>
      <c r="F290" s="1">
        <v>2860.6680000000001</v>
      </c>
      <c r="G290" s="1">
        <v>2.2450000000000001</v>
      </c>
      <c r="H290" s="1">
        <v>1954</v>
      </c>
      <c r="I290" s="1" t="str">
        <f t="shared" si="4"/>
        <v>POAL</v>
      </c>
      <c r="J290">
        <v>1.07098E-2</v>
      </c>
      <c r="K290">
        <v>1.6258599124452999E-2</v>
      </c>
      <c r="L290">
        <v>-0.35351779999999999</v>
      </c>
    </row>
    <row r="291" spans="3:12" x14ac:dyDescent="0.3">
      <c r="C291" s="1" t="s">
        <v>73</v>
      </c>
      <c r="D291" s="1">
        <v>-119.4324</v>
      </c>
      <c r="E291" s="1">
        <v>37.261499999999899</v>
      </c>
      <c r="F291" s="1">
        <v>1792.5378000000001</v>
      </c>
      <c r="G291" s="1">
        <v>3.7320000000000002</v>
      </c>
      <c r="H291" s="1">
        <v>1895</v>
      </c>
      <c r="I291" s="1" t="str">
        <f t="shared" si="4"/>
        <v>POFR</v>
      </c>
      <c r="J291">
        <v>1.62414E-2</v>
      </c>
      <c r="K291">
        <v>-8.2698561601E-3</v>
      </c>
      <c r="L291">
        <v>2.8980599999999999E-2</v>
      </c>
    </row>
    <row r="292" spans="3:12" x14ac:dyDescent="0.3">
      <c r="C292" s="1" t="s">
        <v>72</v>
      </c>
      <c r="D292" s="1">
        <v>11.3355999999999</v>
      </c>
      <c r="E292" s="1">
        <v>46.9102999999999</v>
      </c>
      <c r="F292" s="1">
        <v>1793.2164</v>
      </c>
      <c r="G292" s="1">
        <v>-3.5960000000000001</v>
      </c>
      <c r="H292" s="1">
        <v>1970</v>
      </c>
      <c r="I292" s="1" t="str">
        <f t="shared" si="4"/>
        <v>POAL</v>
      </c>
      <c r="J292">
        <v>9.7248000000000005E-3</v>
      </c>
      <c r="K292">
        <v>2.1035021888679999E-3</v>
      </c>
      <c r="L292">
        <v>-0.1200251</v>
      </c>
    </row>
    <row r="293" spans="3:12" x14ac:dyDescent="0.3">
      <c r="C293" s="1" t="s">
        <v>72</v>
      </c>
      <c r="D293" s="1">
        <v>11.3355999999999</v>
      </c>
      <c r="E293" s="1">
        <v>46.9102999999999</v>
      </c>
      <c r="F293" s="1">
        <v>1793.2164</v>
      </c>
      <c r="G293" s="1">
        <v>-0.44700000000000001</v>
      </c>
      <c r="H293" s="1">
        <v>1970</v>
      </c>
      <c r="I293" s="1" t="str">
        <f t="shared" si="4"/>
        <v>POAL</v>
      </c>
      <c r="J293">
        <v>9.7248000000000005E-3</v>
      </c>
      <c r="K293">
        <v>2.1035021888679999E-3</v>
      </c>
      <c r="L293">
        <v>-0.1200251</v>
      </c>
    </row>
    <row r="294" spans="3:12" x14ac:dyDescent="0.3">
      <c r="C294" s="1" t="s">
        <v>72</v>
      </c>
      <c r="D294" s="1">
        <v>11.3355999999999</v>
      </c>
      <c r="E294" s="1">
        <v>46.9102999999999</v>
      </c>
      <c r="F294" s="1">
        <v>1793.2164</v>
      </c>
      <c r="G294" s="1">
        <v>0.191</v>
      </c>
      <c r="H294" s="1">
        <v>1970</v>
      </c>
      <c r="I294" s="1" t="str">
        <f t="shared" si="4"/>
        <v>POAL</v>
      </c>
      <c r="J294">
        <v>9.7248000000000005E-3</v>
      </c>
      <c r="K294">
        <v>2.1035021888679999E-3</v>
      </c>
      <c r="L294">
        <v>-0.1200251</v>
      </c>
    </row>
    <row r="295" spans="3:12" x14ac:dyDescent="0.3">
      <c r="C295" s="1" t="s">
        <v>72</v>
      </c>
      <c r="D295" s="1">
        <v>10.8605</v>
      </c>
      <c r="E295" s="1">
        <v>45.7196</v>
      </c>
      <c r="F295" s="1">
        <v>1367.8629000000001</v>
      </c>
      <c r="G295" s="1">
        <v>4.2089999999999996</v>
      </c>
      <c r="H295" s="1">
        <v>1989</v>
      </c>
      <c r="I295" s="1" t="str">
        <f t="shared" si="4"/>
        <v>POAL</v>
      </c>
      <c r="J295">
        <v>5.4095999999999997E-3</v>
      </c>
      <c r="K295">
        <v>-8.6163227016889995E-3</v>
      </c>
      <c r="L295">
        <v>-5.6400000000000002E-5</v>
      </c>
    </row>
    <row r="296" spans="3:12" x14ac:dyDescent="0.3">
      <c r="C296" s="1" t="s">
        <v>72</v>
      </c>
      <c r="D296" s="1">
        <v>10.8605</v>
      </c>
      <c r="E296" s="1">
        <v>45.7196</v>
      </c>
      <c r="F296" s="1">
        <v>1367.8629000000001</v>
      </c>
      <c r="G296" s="1">
        <v>12.058</v>
      </c>
      <c r="H296" s="1">
        <v>1989</v>
      </c>
      <c r="I296" s="1" t="str">
        <f t="shared" si="4"/>
        <v>POAL</v>
      </c>
      <c r="J296">
        <v>5.4095999999999997E-3</v>
      </c>
      <c r="K296">
        <v>-8.6163227016889995E-3</v>
      </c>
      <c r="L296">
        <v>-5.6400000000000002E-5</v>
      </c>
    </row>
    <row r="297" spans="3:12" x14ac:dyDescent="0.3">
      <c r="C297" s="1" t="s">
        <v>73</v>
      </c>
      <c r="D297" s="1">
        <v>-119.4324</v>
      </c>
      <c r="E297" s="1">
        <v>37.261499999999899</v>
      </c>
      <c r="F297" s="1">
        <v>1792.5378000000001</v>
      </c>
      <c r="G297" s="1">
        <v>2.476</v>
      </c>
      <c r="H297" s="1">
        <v>1895</v>
      </c>
      <c r="I297" s="1" t="str">
        <f t="shared" si="4"/>
        <v>POFR</v>
      </c>
      <c r="J297">
        <v>1.62414E-2</v>
      </c>
      <c r="K297">
        <v>-8.2698561601E-3</v>
      </c>
      <c r="L297">
        <v>2.8980599999999999E-2</v>
      </c>
    </row>
    <row r="298" spans="3:12" x14ac:dyDescent="0.3">
      <c r="C298" s="1" t="s">
        <v>74</v>
      </c>
      <c r="D298" s="1">
        <v>10.8605</v>
      </c>
      <c r="E298" s="1">
        <v>45.7196</v>
      </c>
      <c r="F298" s="1">
        <v>1367.8629000000001</v>
      </c>
      <c r="G298" s="1">
        <v>1.4339999999999999</v>
      </c>
      <c r="H298" s="1">
        <v>1989</v>
      </c>
      <c r="I298" s="1" t="str">
        <f t="shared" si="4"/>
        <v>PONI</v>
      </c>
      <c r="J298">
        <v>5.4095999999999997E-3</v>
      </c>
      <c r="K298">
        <v>-8.6163227016889995E-3</v>
      </c>
      <c r="L298">
        <v>-5.6400000000000002E-5</v>
      </c>
    </row>
    <row r="299" spans="3:12" x14ac:dyDescent="0.3">
      <c r="C299" s="1" t="s">
        <v>75</v>
      </c>
      <c r="D299" s="1">
        <v>24.6996</v>
      </c>
      <c r="E299" s="1">
        <v>69.812799999999896</v>
      </c>
      <c r="F299" s="1">
        <v>412.95316000000003</v>
      </c>
      <c r="G299" s="1">
        <v>-0.63</v>
      </c>
      <c r="H299" s="1">
        <v>1982</v>
      </c>
      <c r="I299" s="1" t="str">
        <f t="shared" si="4"/>
        <v>POTR</v>
      </c>
      <c r="J299">
        <v>2.7829999999999999E-3</v>
      </c>
      <c r="K299">
        <v>-5.2529706066289997E-3</v>
      </c>
      <c r="L299">
        <v>-4.50312E-2</v>
      </c>
    </row>
    <row r="300" spans="3:12" x14ac:dyDescent="0.3">
      <c r="C300" s="1" t="s">
        <v>75</v>
      </c>
      <c r="D300" s="1">
        <v>13.4633</v>
      </c>
      <c r="E300" s="1">
        <v>48.921500000000002</v>
      </c>
      <c r="F300" s="1">
        <v>869.87121999999999</v>
      </c>
      <c r="G300" s="1">
        <v>2.0190000000000001</v>
      </c>
      <c r="H300" s="1">
        <v>1902</v>
      </c>
      <c r="I300" s="1" t="str">
        <f t="shared" si="4"/>
        <v>POTR</v>
      </c>
      <c r="J300">
        <v>2.1232E-3</v>
      </c>
      <c r="K300">
        <v>-5.7588805503439998E-2</v>
      </c>
      <c r="L300">
        <v>-0.5666291</v>
      </c>
    </row>
    <row r="301" spans="3:12" x14ac:dyDescent="0.3">
      <c r="C301" s="1" t="s">
        <v>75</v>
      </c>
      <c r="D301" s="1">
        <v>10.8605</v>
      </c>
      <c r="E301" s="1">
        <v>45.7196</v>
      </c>
      <c r="F301" s="1">
        <v>1367.8629000000001</v>
      </c>
      <c r="G301" s="1">
        <v>12.689</v>
      </c>
      <c r="H301" s="1">
        <v>1989</v>
      </c>
      <c r="I301" s="1" t="str">
        <f t="shared" si="4"/>
        <v>POTR</v>
      </c>
      <c r="J301">
        <v>5.4095999999999997E-3</v>
      </c>
      <c r="K301">
        <v>-8.6163227016889995E-3</v>
      </c>
      <c r="L301">
        <v>-5.6400000000000002E-5</v>
      </c>
    </row>
    <row r="302" spans="3:12" x14ac:dyDescent="0.3">
      <c r="C302" s="1" t="s">
        <v>75</v>
      </c>
      <c r="D302" s="1">
        <v>7.0965499999999997</v>
      </c>
      <c r="E302" s="1">
        <v>43.006549999999997</v>
      </c>
      <c r="F302" s="1" t="s">
        <v>112</v>
      </c>
      <c r="G302" s="1">
        <v>20.786000000000001</v>
      </c>
      <c r="H302" s="1">
        <v>1981</v>
      </c>
      <c r="I302" s="1" t="str">
        <f t="shared" si="4"/>
        <v>POTR</v>
      </c>
      <c r="J302" t="s">
        <v>112</v>
      </c>
      <c r="K302" t="s">
        <v>112</v>
      </c>
      <c r="L302" t="s">
        <v>112</v>
      </c>
    </row>
    <row r="303" spans="3:12" x14ac:dyDescent="0.3">
      <c r="C303" s="1" t="s">
        <v>76</v>
      </c>
      <c r="D303" s="1">
        <v>-119.4324</v>
      </c>
      <c r="E303" s="1">
        <v>37.261499999999899</v>
      </c>
      <c r="F303" s="1">
        <v>1792.5378000000001</v>
      </c>
      <c r="G303" s="1">
        <v>4.3140000000000001</v>
      </c>
      <c r="H303" s="1">
        <v>1895</v>
      </c>
      <c r="I303" s="1" t="str">
        <f>RIGHT(LEFT(C303,5),4)</f>
        <v>POTE</v>
      </c>
      <c r="J303">
        <v>1.62414E-2</v>
      </c>
      <c r="K303">
        <v>-8.2698561601E-3</v>
      </c>
      <c r="L303">
        <v>2.8980599999999999E-2</v>
      </c>
    </row>
    <row r="304" spans="3:12" x14ac:dyDescent="0.3">
      <c r="C304" s="1" t="s">
        <v>77</v>
      </c>
      <c r="D304" s="1">
        <v>-119.4324</v>
      </c>
      <c r="E304" s="1">
        <v>37.261499999999899</v>
      </c>
      <c r="F304" s="1">
        <v>1792.5378000000001</v>
      </c>
      <c r="G304" s="1">
        <v>5.5179999999999998</v>
      </c>
      <c r="H304" s="1">
        <v>1895</v>
      </c>
      <c r="I304" s="1" t="str">
        <f t="shared" si="4"/>
        <v>POTI</v>
      </c>
      <c r="J304">
        <v>1.62414E-2</v>
      </c>
      <c r="K304">
        <v>-8.2698561601E-3</v>
      </c>
      <c r="L304">
        <v>2.8980599999999999E-2</v>
      </c>
    </row>
    <row r="305" spans="3:12" x14ac:dyDescent="0.3">
      <c r="C305" s="1" t="s">
        <v>72</v>
      </c>
      <c r="D305" s="1">
        <v>10.8605</v>
      </c>
      <c r="E305" s="1">
        <v>45.7196</v>
      </c>
      <c r="F305" s="1">
        <v>1367.8629000000001</v>
      </c>
      <c r="G305" s="1">
        <v>3.806</v>
      </c>
      <c r="H305" s="1">
        <v>1989</v>
      </c>
      <c r="I305" s="1" t="str">
        <f t="shared" si="4"/>
        <v>POAL</v>
      </c>
      <c r="J305">
        <v>5.4095999999999997E-3</v>
      </c>
      <c r="K305">
        <v>-8.6163227016889995E-3</v>
      </c>
      <c r="L305">
        <v>-5.6400000000000002E-5</v>
      </c>
    </row>
    <row r="306" spans="3:12" x14ac:dyDescent="0.3">
      <c r="C306" s="1" t="s">
        <v>73</v>
      </c>
      <c r="D306" s="1">
        <v>9.9322999999999997</v>
      </c>
      <c r="E306" s="1">
        <v>46.615900000000003</v>
      </c>
      <c r="F306" s="1">
        <v>2531.1504</v>
      </c>
      <c r="G306" s="1">
        <v>0.01</v>
      </c>
      <c r="H306" s="1">
        <v>1835</v>
      </c>
      <c r="I306" s="1" t="str">
        <f t="shared" si="4"/>
        <v>POFR</v>
      </c>
      <c r="J306">
        <v>1.02408E-2</v>
      </c>
      <c r="K306">
        <v>7.003439649781E-3</v>
      </c>
      <c r="L306">
        <v>-0.1449375</v>
      </c>
    </row>
    <row r="307" spans="3:12" x14ac:dyDescent="0.3">
      <c r="C307" s="1" t="s">
        <v>73</v>
      </c>
      <c r="D307" s="1">
        <v>10.0448</v>
      </c>
      <c r="E307" s="1">
        <v>46.602699999999899</v>
      </c>
      <c r="F307" s="1">
        <v>1978.8960999999999</v>
      </c>
      <c r="G307" s="1">
        <v>1.998</v>
      </c>
      <c r="H307" s="1">
        <v>1912</v>
      </c>
      <c r="I307" s="1" t="str">
        <f t="shared" si="4"/>
        <v>POFR</v>
      </c>
      <c r="J307">
        <v>1.1554099999999999E-2</v>
      </c>
      <c r="K307">
        <v>1.3260162601626E-2</v>
      </c>
      <c r="L307">
        <v>-0.16215450000000001</v>
      </c>
    </row>
    <row r="308" spans="3:12" x14ac:dyDescent="0.3">
      <c r="C308" s="1" t="s">
        <v>74</v>
      </c>
      <c r="D308" s="1">
        <v>10.8605</v>
      </c>
      <c r="E308" s="1">
        <v>45.7196</v>
      </c>
      <c r="F308" s="1">
        <v>1367.8629000000001</v>
      </c>
      <c r="G308" s="1">
        <v>16.23</v>
      </c>
      <c r="H308" s="1">
        <v>1989</v>
      </c>
      <c r="I308" s="1" t="str">
        <f t="shared" si="4"/>
        <v>PONI</v>
      </c>
      <c r="J308">
        <v>5.4095999999999997E-3</v>
      </c>
      <c r="K308">
        <v>-8.6163227016889995E-3</v>
      </c>
      <c r="L308">
        <v>-5.6400000000000002E-5</v>
      </c>
    </row>
    <row r="309" spans="3:12" x14ac:dyDescent="0.3">
      <c r="C309" s="1" t="s">
        <v>78</v>
      </c>
      <c r="D309" s="1">
        <v>10.8605</v>
      </c>
      <c r="E309" s="1">
        <v>45.7196</v>
      </c>
      <c r="F309" s="1">
        <v>1367.8629000000001</v>
      </c>
      <c r="G309" s="1">
        <v>7.42</v>
      </c>
      <c r="H309" s="1">
        <v>1989</v>
      </c>
      <c r="I309" s="1" t="str">
        <f t="shared" si="4"/>
        <v>PRSP</v>
      </c>
      <c r="J309">
        <v>5.4095999999999997E-3</v>
      </c>
      <c r="K309">
        <v>-8.6163227016889995E-3</v>
      </c>
      <c r="L309">
        <v>-5.6400000000000002E-5</v>
      </c>
    </row>
    <row r="310" spans="3:12" x14ac:dyDescent="0.3">
      <c r="C310" s="1" t="s">
        <v>79</v>
      </c>
      <c r="D310" s="1">
        <v>5.3539166666666702</v>
      </c>
      <c r="E310" s="1">
        <v>45.007733333333299</v>
      </c>
      <c r="F310" s="1">
        <v>761.62267999999995</v>
      </c>
      <c r="G310" s="1">
        <v>-0.54400000000000004</v>
      </c>
      <c r="H310" s="1">
        <v>1905</v>
      </c>
      <c r="I310" s="1" t="str">
        <f t="shared" si="4"/>
        <v>PRAV</v>
      </c>
      <c r="J310">
        <v>1.3298900000000001E-2</v>
      </c>
      <c r="K310">
        <v>-1.2570981863665001E-2</v>
      </c>
      <c r="L310">
        <v>-0.61279859999999997</v>
      </c>
    </row>
    <row r="311" spans="3:12" x14ac:dyDescent="0.3">
      <c r="C311" s="1" t="s">
        <v>79</v>
      </c>
      <c r="D311" s="1">
        <v>2.0886</v>
      </c>
      <c r="E311" s="1">
        <v>46.670499999999898</v>
      </c>
      <c r="F311" s="1">
        <v>264.83069</v>
      </c>
      <c r="G311" s="1">
        <v>0.65500000000000003</v>
      </c>
      <c r="H311" s="1">
        <v>1914</v>
      </c>
      <c r="I311" s="1" t="str">
        <f t="shared" si="4"/>
        <v>PRAV</v>
      </c>
      <c r="J311">
        <v>1.49062E-2</v>
      </c>
      <c r="K311">
        <v>3.8769856160100001E-2</v>
      </c>
      <c r="L311">
        <v>-0.25414009999999998</v>
      </c>
    </row>
    <row r="312" spans="3:12" x14ac:dyDescent="0.3">
      <c r="C312" s="1" t="s">
        <v>79</v>
      </c>
      <c r="D312" s="1">
        <v>2.0886</v>
      </c>
      <c r="E312" s="1">
        <v>46.670499999999898</v>
      </c>
      <c r="F312" s="1">
        <v>264.83069</v>
      </c>
      <c r="G312" s="1">
        <v>1.129</v>
      </c>
      <c r="H312" s="1">
        <v>1914</v>
      </c>
      <c r="I312" s="1" t="str">
        <f t="shared" si="4"/>
        <v>PRAV</v>
      </c>
      <c r="J312">
        <v>1.49062E-2</v>
      </c>
      <c r="K312">
        <v>3.8769856160100001E-2</v>
      </c>
      <c r="L312">
        <v>-0.25414009999999998</v>
      </c>
    </row>
    <row r="313" spans="3:12" x14ac:dyDescent="0.3">
      <c r="C313" s="1" t="s">
        <v>79</v>
      </c>
      <c r="D313" s="1">
        <v>10.8605</v>
      </c>
      <c r="E313" s="1">
        <v>45.7196</v>
      </c>
      <c r="F313" s="1">
        <v>1367.8629000000001</v>
      </c>
      <c r="G313" s="1">
        <v>2.1709999999999998</v>
      </c>
      <c r="H313" s="1">
        <v>1989</v>
      </c>
      <c r="I313" s="1" t="str">
        <f t="shared" si="4"/>
        <v>PRAV</v>
      </c>
      <c r="J313">
        <v>5.4095999999999997E-3</v>
      </c>
      <c r="K313">
        <v>-8.6163227016889995E-3</v>
      </c>
      <c r="L313">
        <v>-5.6400000000000002E-5</v>
      </c>
    </row>
    <row r="314" spans="3:12" x14ac:dyDescent="0.3">
      <c r="C314" s="1" t="s">
        <v>79</v>
      </c>
      <c r="D314" s="1">
        <v>2.0886</v>
      </c>
      <c r="E314" s="1">
        <v>46.670499999999898</v>
      </c>
      <c r="F314" s="1">
        <v>264.83069</v>
      </c>
      <c r="G314" s="1">
        <v>2.3340000000000001</v>
      </c>
      <c r="H314" s="1">
        <v>1914</v>
      </c>
      <c r="I314" s="1" t="str">
        <f t="shared" si="4"/>
        <v>PRAV</v>
      </c>
      <c r="J314">
        <v>1.49062E-2</v>
      </c>
      <c r="K314">
        <v>3.8769856160100001E-2</v>
      </c>
      <c r="L314">
        <v>-0.25414009999999998</v>
      </c>
    </row>
    <row r="315" spans="3:12" x14ac:dyDescent="0.3">
      <c r="C315" s="1" t="s">
        <v>79</v>
      </c>
      <c r="D315" s="1">
        <v>7.0965499999999997</v>
      </c>
      <c r="E315" s="1">
        <v>43.006549999999997</v>
      </c>
      <c r="F315" s="1" t="s">
        <v>112</v>
      </c>
      <c r="G315" s="1">
        <v>6.4290000000000003</v>
      </c>
      <c r="H315" s="1">
        <v>1981</v>
      </c>
      <c r="I315" s="1" t="str">
        <f t="shared" si="4"/>
        <v>PRAV</v>
      </c>
      <c r="J315" t="s">
        <v>112</v>
      </c>
      <c r="K315" t="s">
        <v>112</v>
      </c>
      <c r="L315" t="s">
        <v>112</v>
      </c>
    </row>
    <row r="316" spans="3:12" x14ac:dyDescent="0.3">
      <c r="C316" s="1" t="s">
        <v>80</v>
      </c>
      <c r="D316" s="1">
        <v>-119.4324</v>
      </c>
      <c r="E316" s="1">
        <v>37.261499999999899</v>
      </c>
      <c r="F316" s="1">
        <v>1792.5378000000001</v>
      </c>
      <c r="G316" s="1">
        <v>-3.968</v>
      </c>
      <c r="H316" s="1">
        <v>1895</v>
      </c>
      <c r="I316" s="1" t="str">
        <f t="shared" si="4"/>
        <v>PRIL</v>
      </c>
      <c r="J316">
        <v>1.62414E-2</v>
      </c>
      <c r="K316">
        <v>-8.2698561601E-3</v>
      </c>
      <c r="L316">
        <v>2.8980599999999999E-2</v>
      </c>
    </row>
    <row r="317" spans="3:12" x14ac:dyDescent="0.3">
      <c r="C317" s="1" t="s">
        <v>80</v>
      </c>
      <c r="D317" s="1">
        <v>-119.4324</v>
      </c>
      <c r="E317" s="1">
        <v>37.261499999999899</v>
      </c>
      <c r="F317" s="1">
        <v>1792.5378000000001</v>
      </c>
      <c r="G317" s="1">
        <v>-0.14899999999999999</v>
      </c>
      <c r="H317" s="1">
        <v>1895</v>
      </c>
      <c r="I317" s="1" t="str">
        <f t="shared" si="4"/>
        <v>PRIL</v>
      </c>
      <c r="J317">
        <v>1.62414E-2</v>
      </c>
      <c r="K317">
        <v>-8.2698561601E-3</v>
      </c>
      <c r="L317">
        <v>2.8980599999999999E-2</v>
      </c>
    </row>
    <row r="318" spans="3:12" x14ac:dyDescent="0.3">
      <c r="C318" s="1" t="s">
        <v>80</v>
      </c>
      <c r="D318" s="1">
        <v>-119.4324</v>
      </c>
      <c r="E318" s="1">
        <v>37.261499999999899</v>
      </c>
      <c r="F318" s="1">
        <v>1792.5378000000001</v>
      </c>
      <c r="G318" s="1">
        <v>1.212</v>
      </c>
      <c r="H318" s="1">
        <v>1895</v>
      </c>
      <c r="I318" s="1" t="str">
        <f t="shared" si="4"/>
        <v>PRIL</v>
      </c>
      <c r="J318">
        <v>1.62414E-2</v>
      </c>
      <c r="K318">
        <v>-8.2698561601E-3</v>
      </c>
      <c r="L318">
        <v>2.8980599999999999E-2</v>
      </c>
    </row>
    <row r="319" spans="3:12" x14ac:dyDescent="0.3">
      <c r="C319" s="1" t="s">
        <v>81</v>
      </c>
      <c r="D319" s="1">
        <v>5.3539166666666702</v>
      </c>
      <c r="E319" s="1">
        <v>45.007733333333299</v>
      </c>
      <c r="F319" s="1">
        <v>761.62267999999995</v>
      </c>
      <c r="G319" s="1">
        <v>-0.60199999999999998</v>
      </c>
      <c r="H319" s="1">
        <v>1905</v>
      </c>
      <c r="I319" s="1" t="str">
        <f t="shared" si="4"/>
        <v>PRMA</v>
      </c>
      <c r="J319">
        <v>1.3298900000000001E-2</v>
      </c>
      <c r="K319">
        <v>-1.2570981863665001E-2</v>
      </c>
      <c r="L319">
        <v>-0.61279859999999997</v>
      </c>
    </row>
    <row r="320" spans="3:12" x14ac:dyDescent="0.3">
      <c r="C320" s="1" t="s">
        <v>81</v>
      </c>
      <c r="D320" s="1">
        <v>10.8605</v>
      </c>
      <c r="E320" s="1">
        <v>45.7196</v>
      </c>
      <c r="F320" s="1">
        <v>1367.8629000000001</v>
      </c>
      <c r="G320" s="1">
        <v>0.88700000000000001</v>
      </c>
      <c r="H320" s="1">
        <v>1989</v>
      </c>
      <c r="I320" s="1" t="str">
        <f t="shared" si="4"/>
        <v>PRMA</v>
      </c>
      <c r="J320">
        <v>5.4095999999999997E-3</v>
      </c>
      <c r="K320">
        <v>-8.6163227016889995E-3</v>
      </c>
      <c r="L320">
        <v>-5.6400000000000002E-5</v>
      </c>
    </row>
    <row r="321" spans="3:12" x14ac:dyDescent="0.3">
      <c r="C321" s="1" t="s">
        <v>81</v>
      </c>
      <c r="D321" s="1">
        <v>7.0965499999999997</v>
      </c>
      <c r="E321" s="1">
        <v>43.006549999999997</v>
      </c>
      <c r="F321" s="1" t="s">
        <v>112</v>
      </c>
      <c r="G321" s="1">
        <v>7.2140000000000004</v>
      </c>
      <c r="H321" s="1">
        <v>1981</v>
      </c>
      <c r="I321" s="1" t="str">
        <f t="shared" si="4"/>
        <v>PRMA</v>
      </c>
      <c r="J321" t="s">
        <v>112</v>
      </c>
      <c r="K321" t="s">
        <v>112</v>
      </c>
      <c r="L321" t="s">
        <v>112</v>
      </c>
    </row>
    <row r="322" spans="3:12" x14ac:dyDescent="0.3">
      <c r="C322" s="1" t="s">
        <v>82</v>
      </c>
      <c r="D322" s="1">
        <v>10.8605</v>
      </c>
      <c r="E322" s="1">
        <v>45.7196</v>
      </c>
      <c r="F322" s="1">
        <v>1367.8629000000001</v>
      </c>
      <c r="G322" s="1">
        <v>-3.9569999999999999</v>
      </c>
      <c r="H322" s="1">
        <v>1989</v>
      </c>
      <c r="I322" s="1" t="str">
        <f t="shared" si="4"/>
        <v>PRPE</v>
      </c>
      <c r="J322">
        <v>5.4095999999999997E-3</v>
      </c>
      <c r="K322">
        <v>-8.6163227016889995E-3</v>
      </c>
      <c r="L322">
        <v>-5.6400000000000002E-5</v>
      </c>
    </row>
    <row r="323" spans="3:12" x14ac:dyDescent="0.3">
      <c r="C323" s="1" t="s">
        <v>82</v>
      </c>
      <c r="D323" s="1">
        <v>-119.4324</v>
      </c>
      <c r="E323" s="1">
        <v>37.261499999999899</v>
      </c>
      <c r="F323" s="1">
        <v>1792.5378000000001</v>
      </c>
      <c r="G323" s="1">
        <v>4.8150000000000004</v>
      </c>
      <c r="H323" s="1">
        <v>1895</v>
      </c>
      <c r="I323" s="1" t="str">
        <f t="shared" si="4"/>
        <v>PRPE</v>
      </c>
      <c r="J323">
        <v>1.62414E-2</v>
      </c>
      <c r="K323">
        <v>-8.2698561601E-3</v>
      </c>
      <c r="L323">
        <v>2.8980599999999999E-2</v>
      </c>
    </row>
    <row r="324" spans="3:12" x14ac:dyDescent="0.3">
      <c r="C324" s="1" t="s">
        <v>83</v>
      </c>
      <c r="D324" s="1">
        <v>-71.156700000000001</v>
      </c>
      <c r="E324" s="1">
        <v>45.460099999999898</v>
      </c>
      <c r="F324" s="1">
        <v>901.67474000000004</v>
      </c>
      <c r="G324" s="1">
        <v>1.349</v>
      </c>
      <c r="H324" s="1">
        <v>1970</v>
      </c>
      <c r="I324" s="1" t="str">
        <f t="shared" ref="I324:I387" si="5">RIGHT(LEFT(C324,5),4)</f>
        <v>PRSE</v>
      </c>
      <c r="J324">
        <v>6.8230000000000001E-3</v>
      </c>
      <c r="K324">
        <v>1.2881801125703999E-2</v>
      </c>
      <c r="L324">
        <v>0.35348039999999997</v>
      </c>
    </row>
    <row r="325" spans="3:12" x14ac:dyDescent="0.3">
      <c r="C325" s="1" t="s">
        <v>78</v>
      </c>
      <c r="D325" s="1">
        <v>10.8605</v>
      </c>
      <c r="E325" s="1">
        <v>45.7196</v>
      </c>
      <c r="F325" s="1">
        <v>1367.8629000000001</v>
      </c>
      <c r="G325" s="1">
        <v>0.24099999999999999</v>
      </c>
      <c r="H325" s="1">
        <v>1989</v>
      </c>
      <c r="I325" s="1" t="str">
        <f t="shared" si="5"/>
        <v>PRSP</v>
      </c>
      <c r="J325">
        <v>5.4095999999999997E-3</v>
      </c>
      <c r="K325">
        <v>-8.6163227016889995E-3</v>
      </c>
      <c r="L325">
        <v>-5.6400000000000002E-5</v>
      </c>
    </row>
    <row r="326" spans="3:12" x14ac:dyDescent="0.3">
      <c r="C326" s="1" t="s">
        <v>78</v>
      </c>
      <c r="D326" s="1">
        <v>7.0965499999999997</v>
      </c>
      <c r="E326" s="1">
        <v>43.006549999999997</v>
      </c>
      <c r="F326" s="1" t="s">
        <v>112</v>
      </c>
      <c r="G326" s="1">
        <v>1</v>
      </c>
      <c r="H326" s="1">
        <v>1981</v>
      </c>
      <c r="I326" s="1" t="str">
        <f t="shared" si="5"/>
        <v>PRSP</v>
      </c>
      <c r="J326" t="s">
        <v>112</v>
      </c>
      <c r="K326" t="s">
        <v>112</v>
      </c>
      <c r="L326" t="s">
        <v>112</v>
      </c>
    </row>
    <row r="327" spans="3:12" x14ac:dyDescent="0.3">
      <c r="C327" s="1" t="s">
        <v>78</v>
      </c>
      <c r="D327" s="1">
        <v>5.3539166666666702</v>
      </c>
      <c r="E327" s="1">
        <v>45.007733333333299</v>
      </c>
      <c r="F327" s="1">
        <v>761.62267999999995</v>
      </c>
      <c r="G327" s="1">
        <v>3.67</v>
      </c>
      <c r="H327" s="1">
        <v>1905</v>
      </c>
      <c r="I327" s="1" t="str">
        <f t="shared" si="5"/>
        <v>PRSP</v>
      </c>
      <c r="J327">
        <v>1.3298900000000001E-2</v>
      </c>
      <c r="K327">
        <v>-1.2570981863665001E-2</v>
      </c>
      <c r="L327">
        <v>-0.61279859999999997</v>
      </c>
    </row>
    <row r="328" spans="3:12" x14ac:dyDescent="0.3">
      <c r="C328" s="1" t="s">
        <v>84</v>
      </c>
      <c r="D328" s="1">
        <v>-71.156700000000001</v>
      </c>
      <c r="E328" s="1">
        <v>45.460099999999898</v>
      </c>
      <c r="F328" s="1">
        <v>901.67474000000004</v>
      </c>
      <c r="G328" s="1">
        <v>1.4650000000000001</v>
      </c>
      <c r="H328" s="1">
        <v>1970</v>
      </c>
      <c r="I328" s="1" t="str">
        <f t="shared" si="5"/>
        <v>PRVI</v>
      </c>
      <c r="J328">
        <v>6.8230000000000001E-3</v>
      </c>
      <c r="K328">
        <v>1.2881801125703999E-2</v>
      </c>
      <c r="L328">
        <v>0.35348039999999997</v>
      </c>
    </row>
    <row r="329" spans="3:12" x14ac:dyDescent="0.3">
      <c r="C329" s="1" t="s">
        <v>84</v>
      </c>
      <c r="D329" s="1">
        <v>-119.4324</v>
      </c>
      <c r="E329" s="1">
        <v>37.261499999999899</v>
      </c>
      <c r="F329" s="1">
        <v>1792.5378000000001</v>
      </c>
      <c r="G329" s="1">
        <v>5.7169999999999996</v>
      </c>
      <c r="H329" s="1">
        <v>1895</v>
      </c>
      <c r="I329" s="1" t="str">
        <f t="shared" si="5"/>
        <v>PRVI</v>
      </c>
      <c r="J329">
        <v>1.62414E-2</v>
      </c>
      <c r="K329">
        <v>-8.2698561601E-3</v>
      </c>
      <c r="L329">
        <v>2.8980599999999999E-2</v>
      </c>
    </row>
    <row r="330" spans="3:12" x14ac:dyDescent="0.3">
      <c r="C330" s="1" t="s">
        <v>85</v>
      </c>
      <c r="D330" s="1">
        <v>-120.3503</v>
      </c>
      <c r="E330" s="1">
        <v>39.061799999999899</v>
      </c>
      <c r="F330" s="1">
        <v>1967.6869999999999</v>
      </c>
      <c r="G330" s="1">
        <v>0</v>
      </c>
      <c r="H330" s="1">
        <v>1934</v>
      </c>
      <c r="I330" s="1" t="str">
        <f t="shared" si="5"/>
        <v>PSME</v>
      </c>
      <c r="J330">
        <v>1.9990600000000001E-2</v>
      </c>
      <c r="K330">
        <v>-3.4824577861162997E-2</v>
      </c>
      <c r="L330">
        <v>5.3423999999999999E-2</v>
      </c>
    </row>
    <row r="331" spans="3:12" x14ac:dyDescent="0.3">
      <c r="C331" s="1" t="s">
        <v>85</v>
      </c>
      <c r="D331" s="1">
        <v>-110.7542</v>
      </c>
      <c r="E331" s="1">
        <v>32.437800000000003</v>
      </c>
      <c r="F331" s="1">
        <v>2398.3027000000002</v>
      </c>
      <c r="G331" s="1">
        <v>0</v>
      </c>
      <c r="H331" s="1">
        <v>1963</v>
      </c>
      <c r="I331" s="1" t="str">
        <f t="shared" si="5"/>
        <v>PSME</v>
      </c>
      <c r="J331">
        <v>1.6810499999999999E-2</v>
      </c>
      <c r="K331">
        <v>7.7042839274546998E-2</v>
      </c>
      <c r="L331">
        <v>-5.29769E-2</v>
      </c>
    </row>
    <row r="332" spans="3:12" x14ac:dyDescent="0.3">
      <c r="C332" s="1" t="s">
        <v>85</v>
      </c>
      <c r="D332" s="1">
        <v>-110.7542</v>
      </c>
      <c r="E332" s="1">
        <v>32.437800000000003</v>
      </c>
      <c r="F332" s="1">
        <v>2398.3027000000002</v>
      </c>
      <c r="G332" s="1">
        <v>0</v>
      </c>
      <c r="H332" s="1">
        <v>1963</v>
      </c>
      <c r="I332" s="1" t="str">
        <f t="shared" si="5"/>
        <v>PSME</v>
      </c>
      <c r="J332">
        <v>1.6810499999999999E-2</v>
      </c>
      <c r="K332">
        <v>7.7042839274546998E-2</v>
      </c>
      <c r="L332">
        <v>-5.29769E-2</v>
      </c>
    </row>
    <row r="333" spans="3:12" x14ac:dyDescent="0.3">
      <c r="C333" s="1" t="s">
        <v>85</v>
      </c>
      <c r="D333" s="1">
        <v>-119.4324</v>
      </c>
      <c r="E333" s="1">
        <v>37.261499999999899</v>
      </c>
      <c r="F333" s="1">
        <v>1792.5378000000001</v>
      </c>
      <c r="G333" s="1">
        <v>0.06</v>
      </c>
      <c r="H333" s="1">
        <v>1895</v>
      </c>
      <c r="I333" s="1" t="str">
        <f t="shared" si="5"/>
        <v>PSME</v>
      </c>
      <c r="J333">
        <v>1.62414E-2</v>
      </c>
      <c r="K333">
        <v>-8.2698561601E-3</v>
      </c>
      <c r="L333">
        <v>2.8980599999999999E-2</v>
      </c>
    </row>
    <row r="334" spans="3:12" x14ac:dyDescent="0.3">
      <c r="C334" s="1" t="s">
        <v>85</v>
      </c>
      <c r="D334" s="1">
        <v>7.0965499999999997</v>
      </c>
      <c r="E334" s="1">
        <v>43.006549999999997</v>
      </c>
      <c r="F334" s="1" t="s">
        <v>112</v>
      </c>
      <c r="G334" s="1">
        <v>1.286</v>
      </c>
      <c r="H334" s="1">
        <v>1981</v>
      </c>
      <c r="I334" s="1" t="str">
        <f t="shared" si="5"/>
        <v>PSME</v>
      </c>
      <c r="J334" t="s">
        <v>112</v>
      </c>
      <c r="K334" t="s">
        <v>112</v>
      </c>
      <c r="L334" t="s">
        <v>112</v>
      </c>
    </row>
    <row r="335" spans="3:12" x14ac:dyDescent="0.3">
      <c r="C335" s="1" t="s">
        <v>85</v>
      </c>
      <c r="D335" s="1">
        <v>-121.3335</v>
      </c>
      <c r="E335" s="1">
        <v>38.500700000000002</v>
      </c>
      <c r="F335" s="1">
        <v>17.796066</v>
      </c>
      <c r="G335" s="1">
        <v>3.3660000000000001</v>
      </c>
      <c r="H335" s="1">
        <v>1930</v>
      </c>
      <c r="I335" s="1" t="str">
        <f t="shared" si="5"/>
        <v>PSME</v>
      </c>
      <c r="J335">
        <v>7.2951999999999999E-3</v>
      </c>
      <c r="K335">
        <v>4.4734208880549998E-3</v>
      </c>
      <c r="L335">
        <v>3.0206E-3</v>
      </c>
    </row>
    <row r="336" spans="3:12" x14ac:dyDescent="0.3">
      <c r="C336" s="1" t="s">
        <v>86</v>
      </c>
      <c r="D336" s="1">
        <v>-119.4324</v>
      </c>
      <c r="E336" s="1">
        <v>37.261499999999899</v>
      </c>
      <c r="F336" s="1">
        <v>1792.5378000000001</v>
      </c>
      <c r="G336" s="1">
        <v>-2.5329999999999999</v>
      </c>
      <c r="H336" s="1">
        <v>1895</v>
      </c>
      <c r="I336" s="1" t="str">
        <f t="shared" si="5"/>
        <v>QUAG</v>
      </c>
      <c r="J336">
        <v>1.62414E-2</v>
      </c>
      <c r="K336">
        <v>-8.2698561601E-3</v>
      </c>
      <c r="L336">
        <v>2.8980599999999999E-2</v>
      </c>
    </row>
    <row r="337" spans="3:12" x14ac:dyDescent="0.3">
      <c r="C337" s="1" t="s">
        <v>86</v>
      </c>
      <c r="D337" s="1">
        <v>-119.4324</v>
      </c>
      <c r="E337" s="1">
        <v>37.261499999999899</v>
      </c>
      <c r="F337" s="1">
        <v>1792.5378000000001</v>
      </c>
      <c r="G337" s="1">
        <v>-0.95199999999999996</v>
      </c>
      <c r="H337" s="1">
        <v>1895</v>
      </c>
      <c r="I337" s="1" t="str">
        <f t="shared" si="5"/>
        <v>QUAG</v>
      </c>
      <c r="J337">
        <v>1.62414E-2</v>
      </c>
      <c r="K337">
        <v>-8.2698561601E-3</v>
      </c>
      <c r="L337">
        <v>2.8980599999999999E-2</v>
      </c>
    </row>
    <row r="338" spans="3:12" x14ac:dyDescent="0.3">
      <c r="C338" s="1" t="s">
        <v>86</v>
      </c>
      <c r="D338" s="1">
        <v>-119.4324</v>
      </c>
      <c r="E338" s="1">
        <v>37.261499999999899</v>
      </c>
      <c r="F338" s="1">
        <v>1792.5378000000001</v>
      </c>
      <c r="G338" s="1">
        <v>-0.65500000000000003</v>
      </c>
      <c r="H338" s="1">
        <v>1895</v>
      </c>
      <c r="I338" s="1" t="str">
        <f t="shared" si="5"/>
        <v>QUAG</v>
      </c>
      <c r="J338">
        <v>1.62414E-2</v>
      </c>
      <c r="K338">
        <v>-8.2698561601E-3</v>
      </c>
      <c r="L338">
        <v>2.8980599999999999E-2</v>
      </c>
    </row>
    <row r="339" spans="3:12" x14ac:dyDescent="0.3">
      <c r="C339" s="1" t="s">
        <v>87</v>
      </c>
      <c r="D339" s="1">
        <v>-119.4324</v>
      </c>
      <c r="E339" s="1">
        <v>37.261499999999899</v>
      </c>
      <c r="F339" s="1">
        <v>1792.5378000000001</v>
      </c>
      <c r="G339" s="1">
        <v>-0.36699999999999999</v>
      </c>
      <c r="H339" s="1">
        <v>1895</v>
      </c>
      <c r="I339" s="1" t="str">
        <f t="shared" si="5"/>
        <v>QUBE</v>
      </c>
      <c r="J339">
        <v>1.62414E-2</v>
      </c>
      <c r="K339">
        <v>-8.2698561601E-3</v>
      </c>
      <c r="L339">
        <v>2.8980599999999999E-2</v>
      </c>
    </row>
    <row r="340" spans="3:12" x14ac:dyDescent="0.3">
      <c r="C340" s="1" t="s">
        <v>87</v>
      </c>
      <c r="D340" s="1">
        <v>-121.3335</v>
      </c>
      <c r="E340" s="1">
        <v>38.500700000000002</v>
      </c>
      <c r="F340" s="1">
        <v>17.796066</v>
      </c>
      <c r="G340" s="1">
        <v>9.4039999999999999</v>
      </c>
      <c r="H340" s="1">
        <v>1930</v>
      </c>
      <c r="I340" s="1" t="str">
        <f t="shared" si="5"/>
        <v>QUBE</v>
      </c>
      <c r="J340">
        <v>7.2951999999999999E-3</v>
      </c>
      <c r="K340">
        <v>4.4734208880549998E-3</v>
      </c>
      <c r="L340">
        <v>3.0206E-3</v>
      </c>
    </row>
    <row r="341" spans="3:12" x14ac:dyDescent="0.3">
      <c r="C341" s="1" t="s">
        <v>88</v>
      </c>
      <c r="D341" s="1">
        <v>7.0965499999999997</v>
      </c>
      <c r="E341" s="1">
        <v>43.006549999999997</v>
      </c>
      <c r="F341" s="1" t="s">
        <v>112</v>
      </c>
      <c r="G341" s="1">
        <v>-4.1429999999999998</v>
      </c>
      <c r="H341" s="1">
        <v>1981</v>
      </c>
      <c r="I341" s="1" t="str">
        <f t="shared" si="5"/>
        <v>QUCO</v>
      </c>
      <c r="J341" t="s">
        <v>112</v>
      </c>
      <c r="K341" t="s">
        <v>112</v>
      </c>
      <c r="L341" t="s">
        <v>112</v>
      </c>
    </row>
    <row r="342" spans="3:12" x14ac:dyDescent="0.3">
      <c r="C342" s="1" t="s">
        <v>88</v>
      </c>
      <c r="D342" s="1">
        <v>-116.7925</v>
      </c>
      <c r="E342" s="1">
        <v>33.768999999999899</v>
      </c>
      <c r="F342" s="1">
        <v>1513.3244999999999</v>
      </c>
      <c r="G342" s="1">
        <v>1.2130000000000001</v>
      </c>
      <c r="H342" s="1">
        <v>1977</v>
      </c>
      <c r="I342" s="1" t="str">
        <f t="shared" si="5"/>
        <v>QUCO</v>
      </c>
      <c r="J342">
        <v>2.6838600000000001E-2</v>
      </c>
      <c r="K342">
        <v>-6.1100687929999998E-4</v>
      </c>
      <c r="L342">
        <v>0.13134770000000001</v>
      </c>
    </row>
    <row r="343" spans="3:12" x14ac:dyDescent="0.3">
      <c r="C343" s="1" t="s">
        <v>88</v>
      </c>
      <c r="D343" s="1">
        <v>-119.4324</v>
      </c>
      <c r="E343" s="1">
        <v>37.261499999999899</v>
      </c>
      <c r="F343" s="1">
        <v>1792.5378000000001</v>
      </c>
      <c r="G343" s="1">
        <v>1.756</v>
      </c>
      <c r="H343" s="1">
        <v>1895</v>
      </c>
      <c r="I343" s="1" t="str">
        <f t="shared" si="5"/>
        <v>QUCO</v>
      </c>
      <c r="J343">
        <v>1.62414E-2</v>
      </c>
      <c r="K343">
        <v>-8.2698561601E-3</v>
      </c>
      <c r="L343">
        <v>2.8980599999999999E-2</v>
      </c>
    </row>
    <row r="344" spans="3:12" x14ac:dyDescent="0.3">
      <c r="C344" s="1" t="s">
        <v>89</v>
      </c>
      <c r="D344" s="1">
        <v>-110.7542</v>
      </c>
      <c r="E344" s="1">
        <v>32.437800000000003</v>
      </c>
      <c r="F344" s="1">
        <v>2398.3027000000002</v>
      </c>
      <c r="G344" s="1">
        <v>0</v>
      </c>
      <c r="H344" s="1">
        <v>1963</v>
      </c>
      <c r="I344" s="1" t="str">
        <f t="shared" si="5"/>
        <v>QUGI</v>
      </c>
      <c r="J344">
        <v>1.6810499999999999E-2</v>
      </c>
      <c r="K344">
        <v>7.7042839274546998E-2</v>
      </c>
      <c r="L344">
        <v>-5.29769E-2</v>
      </c>
    </row>
    <row r="345" spans="3:12" x14ac:dyDescent="0.3">
      <c r="C345" s="1" t="s">
        <v>89</v>
      </c>
      <c r="D345" s="1">
        <v>-110.7542</v>
      </c>
      <c r="E345" s="1">
        <v>32.437800000000003</v>
      </c>
      <c r="F345" s="1">
        <v>2398.3027000000002</v>
      </c>
      <c r="G345" s="1">
        <v>5.1509999999999998</v>
      </c>
      <c r="H345" s="1">
        <v>1963</v>
      </c>
      <c r="I345" s="1" t="str">
        <f t="shared" si="5"/>
        <v>QUGI</v>
      </c>
      <c r="J345">
        <v>1.6810499999999999E-2</v>
      </c>
      <c r="K345">
        <v>7.7042839274546998E-2</v>
      </c>
      <c r="L345">
        <v>-5.29769E-2</v>
      </c>
    </row>
    <row r="346" spans="3:12" x14ac:dyDescent="0.3">
      <c r="C346" s="1" t="s">
        <v>90</v>
      </c>
      <c r="D346" s="1">
        <v>-119.4324</v>
      </c>
      <c r="E346" s="1">
        <v>37.261499999999899</v>
      </c>
      <c r="F346" s="1">
        <v>1792.5378000000001</v>
      </c>
      <c r="G346" s="1">
        <v>-2.754</v>
      </c>
      <c r="H346" s="1">
        <v>1895</v>
      </c>
      <c r="I346" s="1" t="str">
        <f t="shared" si="5"/>
        <v>QUGA</v>
      </c>
      <c r="J346">
        <v>1.62414E-2</v>
      </c>
      <c r="K346">
        <v>-8.2698561601E-3</v>
      </c>
      <c r="L346">
        <v>2.8980599999999999E-2</v>
      </c>
    </row>
    <row r="347" spans="3:12" x14ac:dyDescent="0.3">
      <c r="C347" s="1" t="s">
        <v>90</v>
      </c>
      <c r="D347" s="1">
        <v>-121.3335</v>
      </c>
      <c r="E347" s="1">
        <v>38.500700000000002</v>
      </c>
      <c r="F347" s="1">
        <v>17.796066</v>
      </c>
      <c r="G347" s="1">
        <v>-0.437</v>
      </c>
      <c r="H347" s="1">
        <v>1930</v>
      </c>
      <c r="I347" s="1" t="str">
        <f t="shared" si="5"/>
        <v>QUGA</v>
      </c>
      <c r="J347">
        <v>7.2951999999999999E-3</v>
      </c>
      <c r="K347">
        <v>4.4734208880549998E-3</v>
      </c>
      <c r="L347">
        <v>3.0206E-3</v>
      </c>
    </row>
    <row r="348" spans="3:12" x14ac:dyDescent="0.3">
      <c r="C348" s="1" t="s">
        <v>90</v>
      </c>
      <c r="D348" s="1">
        <v>-119.4324</v>
      </c>
      <c r="E348" s="1">
        <v>37.261499999999899</v>
      </c>
      <c r="F348" s="1">
        <v>1792.5378000000001</v>
      </c>
      <c r="G348" s="1">
        <v>1.3480000000000001</v>
      </c>
      <c r="H348" s="1">
        <v>1895</v>
      </c>
      <c r="I348" s="1" t="str">
        <f t="shared" si="5"/>
        <v>QUGA</v>
      </c>
      <c r="J348">
        <v>1.62414E-2</v>
      </c>
      <c r="K348">
        <v>-8.2698561601E-3</v>
      </c>
      <c r="L348">
        <v>2.8980599999999999E-2</v>
      </c>
    </row>
    <row r="349" spans="3:12" x14ac:dyDescent="0.3">
      <c r="C349" s="1" t="s">
        <v>90</v>
      </c>
      <c r="D349" s="1">
        <v>-119.4324</v>
      </c>
      <c r="E349" s="1">
        <v>37.261499999999899</v>
      </c>
      <c r="F349" s="1">
        <v>1792.5378000000001</v>
      </c>
      <c r="G349" s="1">
        <v>1.7210000000000001</v>
      </c>
      <c r="H349" s="1">
        <v>1895</v>
      </c>
      <c r="I349" s="1" t="str">
        <f t="shared" si="5"/>
        <v>QUGA</v>
      </c>
      <c r="J349">
        <v>1.62414E-2</v>
      </c>
      <c r="K349">
        <v>-8.2698561601E-3</v>
      </c>
      <c r="L349">
        <v>2.8980599999999999E-2</v>
      </c>
    </row>
    <row r="350" spans="3:12" x14ac:dyDescent="0.3">
      <c r="C350" s="1" t="s">
        <v>90</v>
      </c>
      <c r="D350" s="1">
        <v>-119.4324</v>
      </c>
      <c r="E350" s="1">
        <v>37.261499999999899</v>
      </c>
      <c r="F350" s="1">
        <v>1792.5378000000001</v>
      </c>
      <c r="G350" s="1">
        <v>3.3809999999999998</v>
      </c>
      <c r="H350" s="1">
        <v>1895</v>
      </c>
      <c r="I350" s="1" t="str">
        <f t="shared" si="5"/>
        <v>QUGA</v>
      </c>
      <c r="J350">
        <v>1.62414E-2</v>
      </c>
      <c r="K350">
        <v>-8.2698561601E-3</v>
      </c>
      <c r="L350">
        <v>2.8980599999999999E-2</v>
      </c>
    </row>
    <row r="351" spans="3:12" x14ac:dyDescent="0.3">
      <c r="C351" s="1" t="s">
        <v>91</v>
      </c>
      <c r="D351" s="1">
        <v>-0.96830000000000005</v>
      </c>
      <c r="E351" s="1">
        <v>42.850900000000003</v>
      </c>
      <c r="F351" s="1">
        <v>1479.7910999999999</v>
      </c>
      <c r="G351" s="1">
        <v>0</v>
      </c>
      <c r="H351" s="1">
        <v>1971</v>
      </c>
      <c r="I351" s="1" t="str">
        <f t="shared" si="5"/>
        <v>QUIL</v>
      </c>
      <c r="J351">
        <v>2.1006899999999998E-2</v>
      </c>
      <c r="K351">
        <v>-1.9869606003752E-2</v>
      </c>
      <c r="L351">
        <v>-0.3330362</v>
      </c>
    </row>
    <row r="352" spans="3:12" x14ac:dyDescent="0.3">
      <c r="C352" s="1" t="s">
        <v>91</v>
      </c>
      <c r="D352" s="1">
        <v>-0.96830000000000005</v>
      </c>
      <c r="E352" s="1">
        <v>42.850900000000003</v>
      </c>
      <c r="F352" s="1">
        <v>1479.7910999999999</v>
      </c>
      <c r="G352" s="1">
        <v>0</v>
      </c>
      <c r="H352" s="1">
        <v>1971</v>
      </c>
      <c r="I352" s="1" t="str">
        <f t="shared" si="5"/>
        <v>QUIL</v>
      </c>
      <c r="J352">
        <v>2.1006899999999998E-2</v>
      </c>
      <c r="K352">
        <v>-1.9869606003752E-2</v>
      </c>
      <c r="L352">
        <v>-0.3330362</v>
      </c>
    </row>
    <row r="353" spans="3:12" x14ac:dyDescent="0.3">
      <c r="C353" s="1" t="s">
        <v>91</v>
      </c>
      <c r="D353" s="1">
        <v>-0.96830000000000005</v>
      </c>
      <c r="E353" s="1">
        <v>42.850900000000003</v>
      </c>
      <c r="F353" s="1">
        <v>1479.7910999999999</v>
      </c>
      <c r="G353" s="1">
        <v>0</v>
      </c>
      <c r="H353" s="1">
        <v>1971</v>
      </c>
      <c r="I353" s="1" t="str">
        <f t="shared" si="5"/>
        <v>QUIL</v>
      </c>
      <c r="J353">
        <v>2.1006899999999998E-2</v>
      </c>
      <c r="K353">
        <v>-1.9869606003752E-2</v>
      </c>
      <c r="L353">
        <v>-0.3330362</v>
      </c>
    </row>
    <row r="354" spans="3:12" x14ac:dyDescent="0.3">
      <c r="C354" s="1" t="s">
        <v>91</v>
      </c>
      <c r="D354" s="1">
        <v>10.8605</v>
      </c>
      <c r="E354" s="1">
        <v>45.7196</v>
      </c>
      <c r="F354" s="1">
        <v>1367.8629000000001</v>
      </c>
      <c r="G354" s="1">
        <v>1.3560000000000001</v>
      </c>
      <c r="H354" s="1">
        <v>1989</v>
      </c>
      <c r="I354" s="1" t="str">
        <f t="shared" si="5"/>
        <v>QUIL</v>
      </c>
      <c r="J354">
        <v>5.4095999999999997E-3</v>
      </c>
      <c r="K354">
        <v>-8.6163227016889995E-3</v>
      </c>
      <c r="L354">
        <v>-5.6400000000000002E-5</v>
      </c>
    </row>
    <row r="355" spans="3:12" x14ac:dyDescent="0.3">
      <c r="C355" s="1" t="s">
        <v>91</v>
      </c>
      <c r="D355" s="1">
        <v>0.92149999999999999</v>
      </c>
      <c r="E355" s="1">
        <v>42.328499999999899</v>
      </c>
      <c r="F355" s="1">
        <v>953.21105999999997</v>
      </c>
      <c r="G355" s="1">
        <v>2</v>
      </c>
      <c r="H355" s="1">
        <v>1986</v>
      </c>
      <c r="I355" s="1" t="str">
        <f t="shared" si="5"/>
        <v>QUIL</v>
      </c>
      <c r="J355">
        <v>1.85022E-2</v>
      </c>
      <c r="K355">
        <v>-6.2043464665416E-2</v>
      </c>
      <c r="L355">
        <v>-0.70604440000000002</v>
      </c>
    </row>
    <row r="356" spans="3:12" x14ac:dyDescent="0.3">
      <c r="C356" s="1" t="s">
        <v>91</v>
      </c>
      <c r="D356" s="1">
        <v>7.0965499999999997</v>
      </c>
      <c r="E356" s="1">
        <v>43.006549999999997</v>
      </c>
      <c r="F356" s="1" t="s">
        <v>112</v>
      </c>
      <c r="G356" s="1">
        <v>2.1429999999999998</v>
      </c>
      <c r="H356" s="1">
        <v>1981</v>
      </c>
      <c r="I356" s="1" t="str">
        <f t="shared" si="5"/>
        <v>QUIL</v>
      </c>
      <c r="J356" t="s">
        <v>112</v>
      </c>
      <c r="K356" t="s">
        <v>112</v>
      </c>
      <c r="L356" t="s">
        <v>112</v>
      </c>
    </row>
    <row r="357" spans="3:12" x14ac:dyDescent="0.3">
      <c r="C357" s="1" t="s">
        <v>91</v>
      </c>
      <c r="D357" s="1">
        <v>-1.7858000000000001</v>
      </c>
      <c r="E357" s="1">
        <v>40.956000000000003</v>
      </c>
      <c r="F357" s="1">
        <v>1084.1304</v>
      </c>
      <c r="G357" s="1">
        <v>2.1819999999999999</v>
      </c>
      <c r="H357" s="1">
        <v>1986</v>
      </c>
      <c r="I357" s="1" t="str">
        <f t="shared" si="5"/>
        <v>QUIL</v>
      </c>
      <c r="J357">
        <v>2.3208300000000001E-2</v>
      </c>
      <c r="K357">
        <v>-5.7681050656660002E-2</v>
      </c>
      <c r="L357">
        <v>-6.4011899999999997E-2</v>
      </c>
    </row>
    <row r="358" spans="3:12" x14ac:dyDescent="0.3">
      <c r="C358" s="1" t="s">
        <v>92</v>
      </c>
      <c r="D358" s="1">
        <v>7.0965499999999997</v>
      </c>
      <c r="E358" s="1">
        <v>43.006549999999997</v>
      </c>
      <c r="F358" s="1" t="s">
        <v>112</v>
      </c>
      <c r="G358" s="1">
        <v>-5.7140000000000004</v>
      </c>
      <c r="H358" s="1">
        <v>1981</v>
      </c>
      <c r="I358" s="1" t="str">
        <f t="shared" si="5"/>
        <v>QUPE</v>
      </c>
      <c r="J358" t="s">
        <v>112</v>
      </c>
      <c r="K358" t="s">
        <v>112</v>
      </c>
      <c r="L358" t="s">
        <v>112</v>
      </c>
    </row>
    <row r="359" spans="3:12" x14ac:dyDescent="0.3">
      <c r="C359" s="1" t="s">
        <v>92</v>
      </c>
      <c r="D359" s="1">
        <v>5.3539166666666702</v>
      </c>
      <c r="E359" s="1">
        <v>45.007733333333299</v>
      </c>
      <c r="F359" s="1">
        <v>761.62267999999995</v>
      </c>
      <c r="G359" s="1">
        <v>-1.204</v>
      </c>
      <c r="H359" s="1">
        <v>1905</v>
      </c>
      <c r="I359" s="1" t="str">
        <f t="shared" si="5"/>
        <v>QUPE</v>
      </c>
      <c r="J359">
        <v>1.3298900000000001E-2</v>
      </c>
      <c r="K359">
        <v>-1.2570981863665001E-2</v>
      </c>
      <c r="L359">
        <v>-0.61279859999999997</v>
      </c>
    </row>
    <row r="360" spans="3:12" x14ac:dyDescent="0.3">
      <c r="C360" s="1" t="s">
        <v>92</v>
      </c>
      <c r="D360" s="1">
        <v>2.0886</v>
      </c>
      <c r="E360" s="1">
        <v>46.670499999999898</v>
      </c>
      <c r="F360" s="1">
        <v>264.83069</v>
      </c>
      <c r="G360" s="1">
        <v>-0.55900000000000005</v>
      </c>
      <c r="H360" s="1">
        <v>1914</v>
      </c>
      <c r="I360" s="1" t="str">
        <f t="shared" si="5"/>
        <v>QUPE</v>
      </c>
      <c r="J360">
        <v>1.49062E-2</v>
      </c>
      <c r="K360">
        <v>3.8769856160100001E-2</v>
      </c>
      <c r="L360">
        <v>-0.25414009999999998</v>
      </c>
    </row>
    <row r="361" spans="3:12" x14ac:dyDescent="0.3">
      <c r="C361" s="1" t="s">
        <v>92</v>
      </c>
      <c r="D361" s="1">
        <v>2.0886</v>
      </c>
      <c r="E361" s="1">
        <v>46.670499999999898</v>
      </c>
      <c r="F361" s="1">
        <v>264.83069</v>
      </c>
      <c r="G361" s="1">
        <v>-0.31</v>
      </c>
      <c r="H361" s="1">
        <v>1914</v>
      </c>
      <c r="I361" s="1" t="str">
        <f t="shared" si="5"/>
        <v>QUPE</v>
      </c>
      <c r="J361">
        <v>1.49062E-2</v>
      </c>
      <c r="K361">
        <v>3.8769856160100001E-2</v>
      </c>
      <c r="L361">
        <v>-0.25414009999999998</v>
      </c>
    </row>
    <row r="362" spans="3:12" x14ac:dyDescent="0.3">
      <c r="C362" s="1" t="s">
        <v>92</v>
      </c>
      <c r="D362" s="1">
        <v>2.0886</v>
      </c>
      <c r="E362" s="1">
        <v>46.670499999999898</v>
      </c>
      <c r="F362" s="1">
        <v>264.83069</v>
      </c>
      <c r="G362" s="1">
        <v>-0.155</v>
      </c>
      <c r="H362" s="1">
        <v>1914</v>
      </c>
      <c r="I362" s="1" t="str">
        <f t="shared" si="5"/>
        <v>QUPE</v>
      </c>
      <c r="J362">
        <v>1.49062E-2</v>
      </c>
      <c r="K362">
        <v>3.8769856160100001E-2</v>
      </c>
      <c r="L362">
        <v>-0.25414009999999998</v>
      </c>
    </row>
    <row r="363" spans="3:12" x14ac:dyDescent="0.3">
      <c r="C363" s="1" t="s">
        <v>92</v>
      </c>
      <c r="D363" s="1">
        <v>19.6858</v>
      </c>
      <c r="E363" s="1">
        <v>48.844700000000003</v>
      </c>
      <c r="F363" s="1">
        <v>701.47131000000002</v>
      </c>
      <c r="G363" s="1">
        <v>0</v>
      </c>
      <c r="H363" s="1">
        <v>1966</v>
      </c>
      <c r="I363" s="1" t="str">
        <f t="shared" si="5"/>
        <v>QUPE</v>
      </c>
      <c r="J363">
        <v>-1.7639100000000001E-2</v>
      </c>
      <c r="K363">
        <v>-3.2774233896185001E-2</v>
      </c>
      <c r="L363">
        <v>-0.5645559</v>
      </c>
    </row>
    <row r="364" spans="3:12" x14ac:dyDescent="0.3">
      <c r="C364" s="1" t="s">
        <v>92</v>
      </c>
      <c r="D364" s="1">
        <v>19.6858</v>
      </c>
      <c r="E364" s="1">
        <v>48.844700000000003</v>
      </c>
      <c r="F364" s="1">
        <v>701.47131000000002</v>
      </c>
      <c r="G364" s="1">
        <v>0.14799999999999999</v>
      </c>
      <c r="H364" s="1">
        <v>1966</v>
      </c>
      <c r="I364" s="1" t="str">
        <f t="shared" si="5"/>
        <v>QUPE</v>
      </c>
      <c r="J364">
        <v>-1.7639100000000001E-2</v>
      </c>
      <c r="K364">
        <v>-3.2774233896185001E-2</v>
      </c>
      <c r="L364">
        <v>-0.5645559</v>
      </c>
    </row>
    <row r="365" spans="3:12" x14ac:dyDescent="0.3">
      <c r="C365" s="1" t="s">
        <v>92</v>
      </c>
      <c r="D365" s="1">
        <v>19.6858</v>
      </c>
      <c r="E365" s="1">
        <v>48.844700000000003</v>
      </c>
      <c r="F365" s="1">
        <v>701.47131000000002</v>
      </c>
      <c r="G365" s="1">
        <v>0.52200000000000002</v>
      </c>
      <c r="H365" s="1">
        <v>1966</v>
      </c>
      <c r="I365" s="1" t="str">
        <f t="shared" si="5"/>
        <v>QUPE</v>
      </c>
      <c r="J365">
        <v>-1.7639100000000001E-2</v>
      </c>
      <c r="K365">
        <v>-3.2774233896185001E-2</v>
      </c>
      <c r="L365">
        <v>-0.5645559</v>
      </c>
    </row>
    <row r="366" spans="3:12" x14ac:dyDescent="0.3">
      <c r="C366" s="1" t="s">
        <v>92</v>
      </c>
      <c r="D366" s="1">
        <v>0.92149999999999999</v>
      </c>
      <c r="E366" s="1">
        <v>42.328499999999899</v>
      </c>
      <c r="F366" s="1">
        <v>953.21105999999997</v>
      </c>
      <c r="G366" s="1">
        <v>3.2730000000000001</v>
      </c>
      <c r="H366" s="1">
        <v>1986</v>
      </c>
      <c r="I366" s="1" t="str">
        <f t="shared" si="5"/>
        <v>QUPE</v>
      </c>
      <c r="J366">
        <v>1.85022E-2</v>
      </c>
      <c r="K366">
        <v>-6.2043464665416E-2</v>
      </c>
      <c r="L366">
        <v>-0.70604440000000002</v>
      </c>
    </row>
    <row r="367" spans="3:12" x14ac:dyDescent="0.3">
      <c r="C367" s="1" t="s">
        <v>92</v>
      </c>
      <c r="D367" s="1">
        <v>10.8605</v>
      </c>
      <c r="E367" s="1">
        <v>45.7196</v>
      </c>
      <c r="F367" s="1">
        <v>1367.8629000000001</v>
      </c>
      <c r="G367" s="1">
        <v>14.013</v>
      </c>
      <c r="H367" s="1">
        <v>1989</v>
      </c>
      <c r="I367" s="1" t="str">
        <f t="shared" si="5"/>
        <v>QUPE</v>
      </c>
      <c r="J367">
        <v>5.4095999999999997E-3</v>
      </c>
      <c r="K367">
        <v>-8.6163227016889995E-3</v>
      </c>
      <c r="L367">
        <v>-5.6400000000000002E-5</v>
      </c>
    </row>
    <row r="368" spans="3:12" x14ac:dyDescent="0.3">
      <c r="C368" s="1" t="s">
        <v>92</v>
      </c>
      <c r="D368" s="1">
        <v>-1.7858000000000001</v>
      </c>
      <c r="E368" s="1">
        <v>40.956000000000003</v>
      </c>
      <c r="F368" s="1">
        <v>1084.1304</v>
      </c>
      <c r="G368" s="1">
        <v>16.454999999999998</v>
      </c>
      <c r="H368" s="1">
        <v>1986</v>
      </c>
      <c r="I368" s="1" t="str">
        <f t="shared" si="5"/>
        <v>QUPE</v>
      </c>
      <c r="J368">
        <v>2.3208300000000001E-2</v>
      </c>
      <c r="K368">
        <v>-5.7681050656660002E-2</v>
      </c>
      <c r="L368">
        <v>-6.4011899999999997E-2</v>
      </c>
    </row>
    <row r="369" spans="3:12" x14ac:dyDescent="0.3">
      <c r="C369" s="1" t="s">
        <v>93</v>
      </c>
      <c r="D369" s="1">
        <v>5.3539166666666702</v>
      </c>
      <c r="E369" s="1">
        <v>45.007733333333299</v>
      </c>
      <c r="F369" s="1">
        <v>761.62267999999995</v>
      </c>
      <c r="G369" s="1">
        <v>-6.7380000000000004</v>
      </c>
      <c r="H369" s="1">
        <v>1905</v>
      </c>
      <c r="I369" s="1" t="str">
        <f t="shared" si="5"/>
        <v>QUPU</v>
      </c>
      <c r="J369">
        <v>1.3298900000000001E-2</v>
      </c>
      <c r="K369">
        <v>-1.2570981863665001E-2</v>
      </c>
      <c r="L369">
        <v>-0.61279859999999997</v>
      </c>
    </row>
    <row r="370" spans="3:12" x14ac:dyDescent="0.3">
      <c r="C370" s="1" t="s">
        <v>93</v>
      </c>
      <c r="D370" s="1">
        <v>10.8605</v>
      </c>
      <c r="E370" s="1">
        <v>45.7196</v>
      </c>
      <c r="F370" s="1">
        <v>1367.8629000000001</v>
      </c>
      <c r="G370" s="1">
        <v>0.71299999999999997</v>
      </c>
      <c r="H370" s="1">
        <v>1989</v>
      </c>
      <c r="I370" s="1" t="str">
        <f t="shared" si="5"/>
        <v>QUPU</v>
      </c>
      <c r="J370">
        <v>5.4095999999999997E-3</v>
      </c>
      <c r="K370">
        <v>-8.6163227016889995E-3</v>
      </c>
      <c r="L370">
        <v>-5.6400000000000002E-5</v>
      </c>
    </row>
    <row r="371" spans="3:12" x14ac:dyDescent="0.3">
      <c r="C371" s="1" t="s">
        <v>93</v>
      </c>
      <c r="D371" s="1">
        <v>-0.96830000000000005</v>
      </c>
      <c r="E371" s="1">
        <v>42.850900000000003</v>
      </c>
      <c r="F371" s="1">
        <v>1479.7910999999999</v>
      </c>
      <c r="G371" s="1">
        <v>1</v>
      </c>
      <c r="H371" s="1">
        <v>1971</v>
      </c>
      <c r="I371" s="1" t="str">
        <f t="shared" si="5"/>
        <v>QUPU</v>
      </c>
      <c r="J371">
        <v>2.1006899999999998E-2</v>
      </c>
      <c r="K371">
        <v>-1.9869606003752E-2</v>
      </c>
      <c r="L371">
        <v>-0.3330362</v>
      </c>
    </row>
    <row r="372" spans="3:12" x14ac:dyDescent="0.3">
      <c r="C372" s="1" t="s">
        <v>93</v>
      </c>
      <c r="D372" s="1">
        <v>-0.96830000000000005</v>
      </c>
      <c r="E372" s="1">
        <v>42.850900000000003</v>
      </c>
      <c r="F372" s="1">
        <v>1479.7910999999999</v>
      </c>
      <c r="G372" s="1">
        <v>3</v>
      </c>
      <c r="H372" s="1">
        <v>1971</v>
      </c>
      <c r="I372" s="1" t="str">
        <f t="shared" si="5"/>
        <v>QUPU</v>
      </c>
      <c r="J372">
        <v>2.1006899999999998E-2</v>
      </c>
      <c r="K372">
        <v>-1.9869606003752E-2</v>
      </c>
      <c r="L372">
        <v>-0.3330362</v>
      </c>
    </row>
    <row r="373" spans="3:12" x14ac:dyDescent="0.3">
      <c r="C373" s="1" t="s">
        <v>93</v>
      </c>
      <c r="D373" s="1">
        <v>7.0965499999999997</v>
      </c>
      <c r="E373" s="1">
        <v>43.006549999999997</v>
      </c>
      <c r="F373" s="1" t="s">
        <v>112</v>
      </c>
      <c r="G373" s="1">
        <v>5.8570000000000002</v>
      </c>
      <c r="H373" s="1">
        <v>1981</v>
      </c>
      <c r="I373" s="1" t="str">
        <f t="shared" si="5"/>
        <v>QUPU</v>
      </c>
      <c r="J373" t="s">
        <v>112</v>
      </c>
      <c r="K373" t="s">
        <v>112</v>
      </c>
      <c r="L373" t="s">
        <v>112</v>
      </c>
    </row>
    <row r="374" spans="3:12" x14ac:dyDescent="0.3">
      <c r="C374" s="1" t="s">
        <v>94</v>
      </c>
      <c r="D374" s="1">
        <v>5.3539166666666702</v>
      </c>
      <c r="E374" s="1">
        <v>45.007733333333299</v>
      </c>
      <c r="F374" s="1">
        <v>761.62267999999995</v>
      </c>
      <c r="G374" s="1">
        <v>-1.476</v>
      </c>
      <c r="H374" s="1">
        <v>1905</v>
      </c>
      <c r="I374" s="1" t="str">
        <f t="shared" si="5"/>
        <v>QURO</v>
      </c>
      <c r="J374">
        <v>1.3298900000000001E-2</v>
      </c>
      <c r="K374">
        <v>-1.2570981863665001E-2</v>
      </c>
      <c r="L374">
        <v>-0.61279859999999997</v>
      </c>
    </row>
    <row r="375" spans="3:12" x14ac:dyDescent="0.3">
      <c r="C375" s="1" t="s">
        <v>94</v>
      </c>
      <c r="D375" s="1">
        <v>13.4633</v>
      </c>
      <c r="E375" s="1">
        <v>48.921500000000002</v>
      </c>
      <c r="F375" s="1">
        <v>869.87121999999999</v>
      </c>
      <c r="G375" s="1">
        <v>-0.42099999999999999</v>
      </c>
      <c r="H375" s="1">
        <v>1902</v>
      </c>
      <c r="I375" s="1" t="str">
        <f t="shared" si="5"/>
        <v>QURO</v>
      </c>
      <c r="J375">
        <v>2.1232E-3</v>
      </c>
      <c r="K375">
        <v>-5.7588805503439998E-2</v>
      </c>
      <c r="L375">
        <v>-0.5666291</v>
      </c>
    </row>
    <row r="376" spans="3:12" x14ac:dyDescent="0.3">
      <c r="C376" s="1" t="s">
        <v>95</v>
      </c>
      <c r="D376" s="1">
        <v>-1.7858000000000001</v>
      </c>
      <c r="E376" s="1">
        <v>40.956000000000003</v>
      </c>
      <c r="F376" s="1">
        <v>1084.1304</v>
      </c>
      <c r="G376" s="1">
        <v>-2.7269999999999999</v>
      </c>
      <c r="H376" s="1">
        <v>1986</v>
      </c>
      <c r="I376" s="1" t="str">
        <f t="shared" si="5"/>
        <v>QUSU</v>
      </c>
      <c r="J376">
        <v>2.3208300000000001E-2</v>
      </c>
      <c r="K376">
        <v>-5.7681050656660002E-2</v>
      </c>
      <c r="L376">
        <v>-6.4011899999999997E-2</v>
      </c>
    </row>
    <row r="377" spans="3:12" x14ac:dyDescent="0.3">
      <c r="C377" s="1" t="s">
        <v>95</v>
      </c>
      <c r="D377" s="1">
        <v>0.92149999999999999</v>
      </c>
      <c r="E377" s="1">
        <v>42.328499999999899</v>
      </c>
      <c r="F377" s="1">
        <v>953.21105999999997</v>
      </c>
      <c r="G377" s="1">
        <v>-0.27300000000000002</v>
      </c>
      <c r="H377" s="1">
        <v>1986</v>
      </c>
      <c r="I377" s="1" t="str">
        <f t="shared" si="5"/>
        <v>QUSU</v>
      </c>
      <c r="J377">
        <v>1.85022E-2</v>
      </c>
      <c r="K377">
        <v>-6.2043464665416E-2</v>
      </c>
      <c r="L377">
        <v>-0.70604440000000002</v>
      </c>
    </row>
    <row r="378" spans="3:12" x14ac:dyDescent="0.3">
      <c r="C378" s="1" t="s">
        <v>96</v>
      </c>
      <c r="D378" s="1">
        <v>-119.4324</v>
      </c>
      <c r="E378" s="1">
        <v>37.261499999999899</v>
      </c>
      <c r="F378" s="1">
        <v>1792.5378000000001</v>
      </c>
      <c r="G378" s="1">
        <v>1.1819999999999999</v>
      </c>
      <c r="H378" s="1">
        <v>1895</v>
      </c>
      <c r="I378" s="1" t="str">
        <f t="shared" si="5"/>
        <v>QUTU</v>
      </c>
      <c r="J378">
        <v>1.62414E-2</v>
      </c>
      <c r="K378">
        <v>-8.2698561601E-3</v>
      </c>
      <c r="L378">
        <v>2.8980599999999999E-2</v>
      </c>
    </row>
    <row r="379" spans="3:12" x14ac:dyDescent="0.3">
      <c r="C379" s="1" t="s">
        <v>97</v>
      </c>
      <c r="D379" s="1">
        <v>-119.4324</v>
      </c>
      <c r="E379" s="1">
        <v>37.261499999999899</v>
      </c>
      <c r="F379" s="1">
        <v>1792.5378000000001</v>
      </c>
      <c r="G379" s="1">
        <v>-8.3480000000000008</v>
      </c>
      <c r="H379" s="1">
        <v>1895</v>
      </c>
      <c r="I379" s="1" t="str">
        <f t="shared" si="5"/>
        <v>QUWI</v>
      </c>
      <c r="J379">
        <v>1.62414E-2</v>
      </c>
      <c r="K379">
        <v>-8.2698561601E-3</v>
      </c>
      <c r="L379">
        <v>2.8980599999999999E-2</v>
      </c>
    </row>
    <row r="380" spans="3:12" x14ac:dyDescent="0.3">
      <c r="C380" s="1" t="s">
        <v>97</v>
      </c>
      <c r="D380" s="1">
        <v>-119.4324</v>
      </c>
      <c r="E380" s="1">
        <v>37.261499999999899</v>
      </c>
      <c r="F380" s="1">
        <v>1792.5378000000001</v>
      </c>
      <c r="G380" s="1">
        <v>1.8859999999999999</v>
      </c>
      <c r="H380" s="1">
        <v>1895</v>
      </c>
      <c r="I380" s="1" t="str">
        <f t="shared" si="5"/>
        <v>QUWI</v>
      </c>
      <c r="J380">
        <v>1.62414E-2</v>
      </c>
      <c r="K380">
        <v>-8.2698561601E-3</v>
      </c>
      <c r="L380">
        <v>2.8980599999999999E-2</v>
      </c>
    </row>
    <row r="381" spans="3:12" x14ac:dyDescent="0.3">
      <c r="C381" s="1" t="s">
        <v>97</v>
      </c>
      <c r="D381" s="1">
        <v>-119.4324</v>
      </c>
      <c r="E381" s="1">
        <v>37.261499999999899</v>
      </c>
      <c r="F381" s="1">
        <v>1792.5378000000001</v>
      </c>
      <c r="G381" s="1">
        <v>2.786</v>
      </c>
      <c r="H381" s="1">
        <v>1895</v>
      </c>
      <c r="I381" s="1" t="str">
        <f t="shared" si="5"/>
        <v>QUWI</v>
      </c>
      <c r="J381">
        <v>1.62414E-2</v>
      </c>
      <c r="K381">
        <v>-8.2698561601E-3</v>
      </c>
      <c r="L381">
        <v>2.8980599999999999E-2</v>
      </c>
    </row>
    <row r="382" spans="3:12" x14ac:dyDescent="0.3">
      <c r="C382" s="1" t="s">
        <v>98</v>
      </c>
      <c r="D382" s="1">
        <v>-119.4324</v>
      </c>
      <c r="E382" s="1">
        <v>37.261499999999899</v>
      </c>
      <c r="F382" s="1">
        <v>1792.5378000000001</v>
      </c>
      <c r="G382" s="1">
        <v>0.88200000000000001</v>
      </c>
      <c r="H382" s="1">
        <v>1895</v>
      </c>
      <c r="I382" s="1" t="str">
        <f t="shared" si="5"/>
        <v>RULE</v>
      </c>
      <c r="J382">
        <v>1.62414E-2</v>
      </c>
      <c r="K382">
        <v>-8.2698561601E-3</v>
      </c>
      <c r="L382">
        <v>2.8980599999999999E-2</v>
      </c>
    </row>
    <row r="383" spans="3:12" x14ac:dyDescent="0.3">
      <c r="C383" s="1" t="s">
        <v>99</v>
      </c>
      <c r="D383" s="1">
        <v>-119.4324</v>
      </c>
      <c r="E383" s="1">
        <v>37.261499999999899</v>
      </c>
      <c r="F383" s="1">
        <v>1792.5378000000001</v>
      </c>
      <c r="G383" s="1">
        <v>1.962</v>
      </c>
      <c r="H383" s="1">
        <v>1895</v>
      </c>
      <c r="I383" s="1" t="str">
        <f t="shared" si="5"/>
        <v>RUPA</v>
      </c>
      <c r="J383">
        <v>1.62414E-2</v>
      </c>
      <c r="K383">
        <v>-8.2698561601E-3</v>
      </c>
      <c r="L383">
        <v>2.8980599999999999E-2</v>
      </c>
    </row>
    <row r="384" spans="3:12" x14ac:dyDescent="0.3">
      <c r="C384" s="1" t="s">
        <v>99</v>
      </c>
      <c r="D384" s="1">
        <v>-119.4324</v>
      </c>
      <c r="E384" s="1">
        <v>37.261499999999899</v>
      </c>
      <c r="F384" s="1">
        <v>1792.5378000000001</v>
      </c>
      <c r="G384" s="1">
        <v>-2.73</v>
      </c>
      <c r="H384" s="1">
        <v>1895</v>
      </c>
      <c r="I384" s="1" t="str">
        <f t="shared" si="5"/>
        <v>RUPA</v>
      </c>
      <c r="J384">
        <v>1.62414E-2</v>
      </c>
      <c r="K384">
        <v>-8.2698561601E-3</v>
      </c>
      <c r="L384">
        <v>2.8980599999999999E-2</v>
      </c>
    </row>
    <row r="385" spans="3:12" x14ac:dyDescent="0.3">
      <c r="C385" s="1" t="s">
        <v>100</v>
      </c>
      <c r="D385" s="1">
        <v>-119.4324</v>
      </c>
      <c r="E385" s="1">
        <v>37.261499999999899</v>
      </c>
      <c r="F385" s="1">
        <v>1792.5378000000001</v>
      </c>
      <c r="G385" s="1">
        <v>-4.3840000000000003</v>
      </c>
      <c r="H385" s="1">
        <v>1895</v>
      </c>
      <c r="I385" s="1" t="str">
        <f t="shared" si="5"/>
        <v>SAVI</v>
      </c>
      <c r="J385">
        <v>1.62414E-2</v>
      </c>
      <c r="K385">
        <v>-8.2698561601E-3</v>
      </c>
      <c r="L385">
        <v>2.8980599999999999E-2</v>
      </c>
    </row>
    <row r="386" spans="3:12" x14ac:dyDescent="0.3">
      <c r="C386" s="1" t="s">
        <v>100</v>
      </c>
      <c r="D386" s="1">
        <v>10.8605</v>
      </c>
      <c r="E386" s="1">
        <v>45.7196</v>
      </c>
      <c r="F386" s="1">
        <v>1367.8629000000001</v>
      </c>
      <c r="G386" s="1">
        <v>16.119</v>
      </c>
      <c r="H386" s="1">
        <v>1989</v>
      </c>
      <c r="I386" s="1" t="str">
        <f t="shared" si="5"/>
        <v>SAVI</v>
      </c>
      <c r="J386">
        <v>5.4095999999999997E-3</v>
      </c>
      <c r="K386">
        <v>-8.6163227016889995E-3</v>
      </c>
      <c r="L386">
        <v>-5.6400000000000002E-5</v>
      </c>
    </row>
    <row r="387" spans="3:12" x14ac:dyDescent="0.3">
      <c r="C387" s="1" t="s">
        <v>101</v>
      </c>
      <c r="D387" s="1">
        <v>-119.4324</v>
      </c>
      <c r="E387" s="1">
        <v>37.261499999999899</v>
      </c>
      <c r="F387" s="1">
        <v>1792.5378000000001</v>
      </c>
      <c r="G387" s="1">
        <v>0.66200000000000003</v>
      </c>
      <c r="H387" s="1">
        <v>1895</v>
      </c>
      <c r="I387" s="1" t="str">
        <f t="shared" si="5"/>
        <v>SCMO</v>
      </c>
      <c r="J387">
        <v>1.62414E-2</v>
      </c>
      <c r="K387">
        <v>-8.2698561601E-3</v>
      </c>
      <c r="L387">
        <v>2.8980599999999999E-2</v>
      </c>
    </row>
    <row r="388" spans="3:12" x14ac:dyDescent="0.3">
      <c r="C388" s="1" t="s">
        <v>101</v>
      </c>
      <c r="D388" s="1">
        <v>11.3355999999999</v>
      </c>
      <c r="E388" s="1">
        <v>46.9102999999999</v>
      </c>
      <c r="F388" s="1">
        <v>1793.2164</v>
      </c>
      <c r="G388" s="1">
        <v>4.2999999999999997E-2</v>
      </c>
      <c r="H388" s="1">
        <v>1970</v>
      </c>
      <c r="I388" s="1" t="str">
        <f t="shared" ref="I388:I419" si="6">RIGHT(LEFT(C388,5),4)</f>
        <v>SCMO</v>
      </c>
      <c r="J388">
        <v>9.7248000000000005E-3</v>
      </c>
      <c r="K388">
        <v>2.1035021888679999E-3</v>
      </c>
      <c r="L388">
        <v>-0.1200251</v>
      </c>
    </row>
    <row r="389" spans="3:12" x14ac:dyDescent="0.3">
      <c r="C389" s="1" t="s">
        <v>101</v>
      </c>
      <c r="D389" s="1">
        <v>9.9322999999999997</v>
      </c>
      <c r="E389" s="1">
        <v>46.615900000000003</v>
      </c>
      <c r="F389" s="1">
        <v>2531.1504</v>
      </c>
      <c r="G389" s="1">
        <v>1.1100000000000001</v>
      </c>
      <c r="H389" s="1">
        <v>1835</v>
      </c>
      <c r="I389" s="1" t="str">
        <f t="shared" si="6"/>
        <v>SCMO</v>
      </c>
      <c r="J389">
        <v>1.02408E-2</v>
      </c>
      <c r="K389">
        <v>7.003439649781E-3</v>
      </c>
      <c r="L389">
        <v>-0.1449375</v>
      </c>
    </row>
    <row r="390" spans="3:12" x14ac:dyDescent="0.3">
      <c r="C390" s="1" t="s">
        <v>101</v>
      </c>
      <c r="D390" s="1">
        <v>11.3355999999999</v>
      </c>
      <c r="E390" s="1">
        <v>46.9102999999999</v>
      </c>
      <c r="F390" s="1">
        <v>1793.2164</v>
      </c>
      <c r="G390" s="1">
        <v>2.085</v>
      </c>
      <c r="H390" s="1">
        <v>1970</v>
      </c>
      <c r="I390" s="1" t="str">
        <f t="shared" si="6"/>
        <v>SCMO</v>
      </c>
      <c r="J390">
        <v>9.7248000000000005E-3</v>
      </c>
      <c r="K390">
        <v>2.1035021888679999E-3</v>
      </c>
      <c r="L390">
        <v>-0.1200251</v>
      </c>
    </row>
    <row r="391" spans="3:12" x14ac:dyDescent="0.3">
      <c r="C391" s="1" t="s">
        <v>101</v>
      </c>
      <c r="D391" s="1">
        <v>11.3355999999999</v>
      </c>
      <c r="E391" s="1">
        <v>46.9102999999999</v>
      </c>
      <c r="F391" s="1">
        <v>1793.2164</v>
      </c>
      <c r="G391" s="1">
        <v>2.7869999999999999</v>
      </c>
      <c r="H391" s="1">
        <v>1970</v>
      </c>
      <c r="I391" s="1" t="str">
        <f t="shared" si="6"/>
        <v>SCMO</v>
      </c>
      <c r="J391">
        <v>9.7248000000000005E-3</v>
      </c>
      <c r="K391">
        <v>2.1035021888679999E-3</v>
      </c>
      <c r="L391">
        <v>-0.1200251</v>
      </c>
    </row>
    <row r="392" spans="3:12" x14ac:dyDescent="0.3">
      <c r="C392" s="1" t="s">
        <v>102</v>
      </c>
      <c r="D392" s="1">
        <v>10.8605</v>
      </c>
      <c r="E392" s="1">
        <v>45.7196</v>
      </c>
      <c r="F392" s="1">
        <v>1367.8629000000001</v>
      </c>
      <c r="G392" s="1">
        <v>0.86199999999999999</v>
      </c>
      <c r="H392" s="1">
        <v>1989</v>
      </c>
      <c r="I392" s="1" t="str">
        <f t="shared" si="6"/>
        <v>SESE</v>
      </c>
      <c r="J392">
        <v>5.4095999999999997E-3</v>
      </c>
      <c r="K392">
        <v>-8.6163227016889995E-3</v>
      </c>
      <c r="L392">
        <v>-5.6400000000000002E-5</v>
      </c>
    </row>
    <row r="393" spans="3:12" x14ac:dyDescent="0.3">
      <c r="C393" s="1" t="s">
        <v>102</v>
      </c>
      <c r="D393" s="1">
        <v>7.9573</v>
      </c>
      <c r="E393" s="1">
        <v>60.697299999999899</v>
      </c>
      <c r="F393" s="1">
        <v>1156.1946</v>
      </c>
      <c r="G393" s="1">
        <v>-2.3330000000000002</v>
      </c>
      <c r="H393" s="1">
        <v>2001</v>
      </c>
      <c r="I393" s="1" t="str">
        <f t="shared" si="6"/>
        <v>SESE</v>
      </c>
      <c r="J393">
        <v>5.3502000000000003E-3</v>
      </c>
      <c r="K393">
        <v>4.5384615384620004E-3</v>
      </c>
      <c r="L393">
        <v>-0.11542529999999999</v>
      </c>
    </row>
    <row r="394" spans="3:12" x14ac:dyDescent="0.3">
      <c r="C394" s="1" t="s">
        <v>102</v>
      </c>
      <c r="D394" s="1">
        <v>11.3355999999999</v>
      </c>
      <c r="E394" s="1">
        <v>46.9102999999999</v>
      </c>
      <c r="F394" s="1">
        <v>1793.2164</v>
      </c>
      <c r="G394" s="1">
        <v>-1.5529999999999999</v>
      </c>
      <c r="H394" s="1">
        <v>1970</v>
      </c>
      <c r="I394" s="1" t="str">
        <f t="shared" si="6"/>
        <v>SESE</v>
      </c>
      <c r="J394">
        <v>9.7248000000000005E-3</v>
      </c>
      <c r="K394">
        <v>2.1035021888679999E-3</v>
      </c>
      <c r="L394">
        <v>-0.1200251</v>
      </c>
    </row>
    <row r="395" spans="3:12" x14ac:dyDescent="0.3">
      <c r="C395" s="1" t="s">
        <v>102</v>
      </c>
      <c r="D395" s="1">
        <v>11.3355999999999</v>
      </c>
      <c r="E395" s="1">
        <v>46.9102999999999</v>
      </c>
      <c r="F395" s="1">
        <v>1793.2164</v>
      </c>
      <c r="G395" s="1">
        <v>-0.34</v>
      </c>
      <c r="H395" s="1">
        <v>1970</v>
      </c>
      <c r="I395" s="1" t="str">
        <f t="shared" si="6"/>
        <v>SESE</v>
      </c>
      <c r="J395">
        <v>9.7248000000000005E-3</v>
      </c>
      <c r="K395">
        <v>2.1035021888679999E-3</v>
      </c>
      <c r="L395">
        <v>-0.1200251</v>
      </c>
    </row>
    <row r="396" spans="3:12" x14ac:dyDescent="0.3">
      <c r="C396" s="1" t="s">
        <v>102</v>
      </c>
      <c r="D396" s="1">
        <v>24.6996</v>
      </c>
      <c r="E396" s="1">
        <v>69.812799999999896</v>
      </c>
      <c r="F396" s="1">
        <v>412.95316000000003</v>
      </c>
      <c r="G396" s="1">
        <v>-0.25900000000000001</v>
      </c>
      <c r="H396" s="1">
        <v>1982</v>
      </c>
      <c r="I396" s="1" t="str">
        <f t="shared" si="6"/>
        <v>SESE</v>
      </c>
      <c r="J396">
        <v>2.7829999999999999E-3</v>
      </c>
      <c r="K396">
        <v>-5.2529706066289997E-3</v>
      </c>
      <c r="L396">
        <v>-4.50312E-2</v>
      </c>
    </row>
    <row r="397" spans="3:12" x14ac:dyDescent="0.3">
      <c r="C397" s="1" t="s">
        <v>102</v>
      </c>
      <c r="D397" s="1">
        <v>24.6996</v>
      </c>
      <c r="E397" s="1">
        <v>69.812799999999896</v>
      </c>
      <c r="F397" s="1">
        <v>412.95316000000003</v>
      </c>
      <c r="G397" s="1">
        <v>1.0740000000000001</v>
      </c>
      <c r="H397" s="1">
        <v>1982</v>
      </c>
      <c r="I397" s="1" t="str">
        <f t="shared" si="6"/>
        <v>SESE</v>
      </c>
      <c r="J397">
        <v>2.7829999999999999E-3</v>
      </c>
      <c r="K397">
        <v>-5.2529706066289997E-3</v>
      </c>
      <c r="L397">
        <v>-4.50312E-2</v>
      </c>
    </row>
    <row r="398" spans="3:12" x14ac:dyDescent="0.3">
      <c r="C398" s="1" t="s">
        <v>102</v>
      </c>
      <c r="D398" s="1">
        <v>11.3355999999999</v>
      </c>
      <c r="E398" s="1">
        <v>46.9102999999999</v>
      </c>
      <c r="F398" s="1">
        <v>1793.2164</v>
      </c>
      <c r="G398" s="1">
        <v>1.617</v>
      </c>
      <c r="H398" s="1">
        <v>1970</v>
      </c>
      <c r="I398" s="1" t="str">
        <f t="shared" si="6"/>
        <v>SESE</v>
      </c>
      <c r="J398">
        <v>9.7248000000000005E-3</v>
      </c>
      <c r="K398">
        <v>2.1035021888679999E-3</v>
      </c>
      <c r="L398">
        <v>-0.1200251</v>
      </c>
    </row>
    <row r="399" spans="3:12" x14ac:dyDescent="0.3">
      <c r="C399" s="1" t="s">
        <v>102</v>
      </c>
      <c r="D399" s="1">
        <v>-119.4324</v>
      </c>
      <c r="E399" s="1">
        <v>37.261499999999899</v>
      </c>
      <c r="F399" s="1">
        <v>1792.5378000000001</v>
      </c>
      <c r="G399" s="1">
        <v>-9.2940000000000005</v>
      </c>
      <c r="H399" s="1">
        <v>1895</v>
      </c>
      <c r="I399" s="1" t="str">
        <f t="shared" si="6"/>
        <v>SESE</v>
      </c>
      <c r="J399">
        <v>1.62414E-2</v>
      </c>
      <c r="K399">
        <v>-8.2698561601E-3</v>
      </c>
      <c r="L399">
        <v>2.8980599999999999E-2</v>
      </c>
    </row>
    <row r="400" spans="3:12" x14ac:dyDescent="0.3">
      <c r="C400" s="1" t="s">
        <v>102</v>
      </c>
      <c r="D400" s="1">
        <v>-119.4324</v>
      </c>
      <c r="E400" s="1">
        <v>37.261499999999899</v>
      </c>
      <c r="F400" s="1">
        <v>1792.5378000000001</v>
      </c>
      <c r="G400" s="1">
        <v>0.76200000000000001</v>
      </c>
      <c r="H400" s="1">
        <v>1895</v>
      </c>
      <c r="I400" s="1" t="str">
        <f t="shared" si="6"/>
        <v>SESE</v>
      </c>
      <c r="J400">
        <v>1.62414E-2</v>
      </c>
      <c r="K400">
        <v>-8.2698561601E-3</v>
      </c>
      <c r="L400">
        <v>2.8980599999999999E-2</v>
      </c>
    </row>
    <row r="401" spans="3:12" x14ac:dyDescent="0.3">
      <c r="C401" s="1" t="s">
        <v>103</v>
      </c>
      <c r="D401" s="1">
        <v>-119.4324</v>
      </c>
      <c r="E401" s="1">
        <v>37.261499999999899</v>
      </c>
      <c r="F401" s="1">
        <v>1792.5378000000001</v>
      </c>
      <c r="G401" s="1">
        <v>-6.3E-2</v>
      </c>
      <c r="H401" s="1">
        <v>1895</v>
      </c>
      <c r="I401" s="1" t="str">
        <f t="shared" si="6"/>
        <v>SEGI</v>
      </c>
      <c r="J401">
        <v>1.62414E-2</v>
      </c>
      <c r="K401">
        <v>-8.2698561601E-3</v>
      </c>
      <c r="L401">
        <v>2.8980599999999999E-2</v>
      </c>
    </row>
    <row r="402" spans="3:12" x14ac:dyDescent="0.3">
      <c r="C402" s="1" t="s">
        <v>104</v>
      </c>
      <c r="D402" s="1">
        <v>-119.4324</v>
      </c>
      <c r="E402" s="1">
        <v>37.261499999999899</v>
      </c>
      <c r="F402" s="1">
        <v>1792.5378000000001</v>
      </c>
      <c r="G402" s="1">
        <v>4.2569999999999997</v>
      </c>
      <c r="H402" s="1">
        <v>1895</v>
      </c>
      <c r="I402" s="1" t="str">
        <f t="shared" si="6"/>
        <v>TARA</v>
      </c>
      <c r="J402">
        <v>1.62414E-2</v>
      </c>
      <c r="K402">
        <v>-8.2698561601E-3</v>
      </c>
      <c r="L402">
        <v>2.8980599999999999E-2</v>
      </c>
    </row>
    <row r="403" spans="3:12" x14ac:dyDescent="0.3">
      <c r="C403" s="1" t="s">
        <v>105</v>
      </c>
      <c r="D403" s="1">
        <v>-71.156700000000001</v>
      </c>
      <c r="E403" s="1">
        <v>45.460099999999898</v>
      </c>
      <c r="F403" s="1">
        <v>901.67474000000004</v>
      </c>
      <c r="G403" s="1">
        <v>0.442</v>
      </c>
      <c r="H403" s="1">
        <v>1970</v>
      </c>
      <c r="I403" s="1" t="str">
        <f t="shared" si="6"/>
        <v>TICO</v>
      </c>
      <c r="J403">
        <v>6.8230000000000001E-3</v>
      </c>
      <c r="K403">
        <v>1.2881801125703999E-2</v>
      </c>
      <c r="L403">
        <v>0.35348039999999997</v>
      </c>
    </row>
    <row r="404" spans="3:12" x14ac:dyDescent="0.3">
      <c r="C404" s="1" t="s">
        <v>105</v>
      </c>
      <c r="D404" s="1">
        <v>7.0965499999999997</v>
      </c>
      <c r="E404" s="1">
        <v>43.006549999999997</v>
      </c>
      <c r="F404" s="1" t="s">
        <v>112</v>
      </c>
      <c r="G404" s="1">
        <v>-3.714</v>
      </c>
      <c r="H404" s="1">
        <v>1981</v>
      </c>
      <c r="I404" s="1" t="str">
        <f t="shared" si="6"/>
        <v>TICO</v>
      </c>
      <c r="J404" t="s">
        <v>112</v>
      </c>
      <c r="K404" t="s">
        <v>112</v>
      </c>
      <c r="L404" t="s">
        <v>112</v>
      </c>
    </row>
    <row r="405" spans="3:12" x14ac:dyDescent="0.3">
      <c r="C405" s="1" t="s">
        <v>105</v>
      </c>
      <c r="D405" s="1">
        <v>19.6858</v>
      </c>
      <c r="E405" s="1">
        <v>48.844700000000003</v>
      </c>
      <c r="F405" s="1">
        <v>701.47131000000002</v>
      </c>
      <c r="G405" s="1">
        <v>-1.377</v>
      </c>
      <c r="H405" s="1">
        <v>1966</v>
      </c>
      <c r="I405" s="1" t="str">
        <f t="shared" si="6"/>
        <v>TICO</v>
      </c>
      <c r="J405">
        <v>-1.7639100000000001E-2</v>
      </c>
      <c r="K405">
        <v>-3.2774233896185001E-2</v>
      </c>
      <c r="L405">
        <v>-0.5645559</v>
      </c>
    </row>
    <row r="406" spans="3:12" x14ac:dyDescent="0.3">
      <c r="C406" s="1" t="s">
        <v>105</v>
      </c>
      <c r="D406" s="1">
        <v>2.0886</v>
      </c>
      <c r="E406" s="1">
        <v>46.670499999999898</v>
      </c>
      <c r="F406" s="1">
        <v>264.83069</v>
      </c>
      <c r="G406" s="1">
        <v>-0.755</v>
      </c>
      <c r="H406" s="1">
        <v>1914</v>
      </c>
      <c r="I406" s="1" t="str">
        <f t="shared" si="6"/>
        <v>TICO</v>
      </c>
      <c r="J406">
        <v>1.49062E-2</v>
      </c>
      <c r="K406">
        <v>3.8769856160100001E-2</v>
      </c>
      <c r="L406">
        <v>-0.25414009999999998</v>
      </c>
    </row>
    <row r="407" spans="3:12" x14ac:dyDescent="0.3">
      <c r="C407" s="1" t="s">
        <v>105</v>
      </c>
      <c r="D407" s="1">
        <v>19.6858</v>
      </c>
      <c r="E407" s="1">
        <v>48.844700000000003</v>
      </c>
      <c r="F407" s="1">
        <v>701.47131000000002</v>
      </c>
      <c r="G407" s="1">
        <v>0.14799999999999999</v>
      </c>
      <c r="H407" s="1">
        <v>1966</v>
      </c>
      <c r="I407" s="1" t="str">
        <f t="shared" si="6"/>
        <v>TICO</v>
      </c>
      <c r="J407">
        <v>-1.7639100000000001E-2</v>
      </c>
      <c r="K407">
        <v>-3.2774233896185001E-2</v>
      </c>
      <c r="L407">
        <v>-0.5645559</v>
      </c>
    </row>
    <row r="408" spans="3:12" x14ac:dyDescent="0.3">
      <c r="C408" s="1" t="s">
        <v>105</v>
      </c>
      <c r="D408" s="1">
        <v>2.0886</v>
      </c>
      <c r="E408" s="1">
        <v>46.670499999999898</v>
      </c>
      <c r="F408" s="1">
        <v>264.83069</v>
      </c>
      <c r="G408" s="1">
        <v>0.751</v>
      </c>
      <c r="H408" s="1">
        <v>1914</v>
      </c>
      <c r="I408" s="1" t="str">
        <f t="shared" si="6"/>
        <v>TICO</v>
      </c>
      <c r="J408">
        <v>1.49062E-2</v>
      </c>
      <c r="K408">
        <v>3.8769856160100001E-2</v>
      </c>
      <c r="L408">
        <v>-0.25414009999999998</v>
      </c>
    </row>
    <row r="409" spans="3:12" x14ac:dyDescent="0.3">
      <c r="C409" s="1" t="s">
        <v>105</v>
      </c>
      <c r="D409" s="1">
        <v>10.8605</v>
      </c>
      <c r="E409" s="1">
        <v>45.7196</v>
      </c>
      <c r="F409" s="1">
        <v>1367.8629000000001</v>
      </c>
      <c r="G409" s="1">
        <v>3.4740000000000002</v>
      </c>
      <c r="H409" s="1">
        <v>1989</v>
      </c>
      <c r="I409" s="1" t="str">
        <f t="shared" si="6"/>
        <v>TICO</v>
      </c>
      <c r="J409">
        <v>5.4095999999999997E-3</v>
      </c>
      <c r="K409">
        <v>-8.6163227016889995E-3</v>
      </c>
      <c r="L409">
        <v>-5.6400000000000002E-5</v>
      </c>
    </row>
    <row r="410" spans="3:12" x14ac:dyDescent="0.3">
      <c r="C410" s="1" t="s">
        <v>105</v>
      </c>
      <c r="D410" s="1">
        <v>19.6858</v>
      </c>
      <c r="E410" s="1">
        <v>48.844700000000003</v>
      </c>
      <c r="F410" s="1">
        <v>701.47131000000002</v>
      </c>
      <c r="G410" s="1">
        <v>3.6230000000000002</v>
      </c>
      <c r="H410" s="1">
        <v>1966</v>
      </c>
      <c r="I410" s="1" t="str">
        <f t="shared" si="6"/>
        <v>TICO</v>
      </c>
      <c r="J410">
        <v>-1.7639100000000001E-2</v>
      </c>
      <c r="K410">
        <v>-3.2774233896185001E-2</v>
      </c>
      <c r="L410">
        <v>-0.5645559</v>
      </c>
    </row>
    <row r="411" spans="3:12" x14ac:dyDescent="0.3">
      <c r="C411" s="1" t="s">
        <v>105</v>
      </c>
      <c r="D411" s="1">
        <v>2.0886</v>
      </c>
      <c r="E411" s="1">
        <v>46.670499999999898</v>
      </c>
      <c r="F411" s="1">
        <v>264.83069</v>
      </c>
      <c r="G411" s="1">
        <v>3.734</v>
      </c>
      <c r="H411" s="1">
        <v>1914</v>
      </c>
      <c r="I411" s="1" t="str">
        <f t="shared" si="6"/>
        <v>TICO</v>
      </c>
      <c r="J411">
        <v>1.49062E-2</v>
      </c>
      <c r="K411">
        <v>3.8769856160100001E-2</v>
      </c>
      <c r="L411">
        <v>-0.25414009999999998</v>
      </c>
    </row>
    <row r="412" spans="3:12" x14ac:dyDescent="0.3">
      <c r="C412" s="1" t="s">
        <v>106</v>
      </c>
      <c r="D412" s="1">
        <v>2.0886</v>
      </c>
      <c r="E412" s="1">
        <v>46.670499999999898</v>
      </c>
      <c r="F412" s="1">
        <v>264.83069</v>
      </c>
      <c r="G412" s="1">
        <v>0.24099999999999999</v>
      </c>
      <c r="H412" s="1">
        <v>1914</v>
      </c>
      <c r="I412" s="1" t="str">
        <f t="shared" si="6"/>
        <v>TIPL</v>
      </c>
      <c r="J412">
        <v>1.49062E-2</v>
      </c>
      <c r="K412">
        <v>3.8769856160100001E-2</v>
      </c>
      <c r="L412">
        <v>-0.25414009999999998</v>
      </c>
    </row>
    <row r="413" spans="3:12" x14ac:dyDescent="0.3">
      <c r="C413" s="1" t="s">
        <v>106</v>
      </c>
      <c r="D413" s="1">
        <v>5.3539166666666702</v>
      </c>
      <c r="E413" s="1">
        <v>45.007733333333299</v>
      </c>
      <c r="F413" s="1">
        <v>761.62267999999995</v>
      </c>
      <c r="G413" s="1">
        <v>0.93200000000000005</v>
      </c>
      <c r="H413" s="1">
        <v>1905</v>
      </c>
      <c r="I413" s="1" t="str">
        <f t="shared" si="6"/>
        <v>TIPL</v>
      </c>
      <c r="J413">
        <v>1.3298900000000001E-2</v>
      </c>
      <c r="K413">
        <v>-1.2570981863665001E-2</v>
      </c>
      <c r="L413">
        <v>-0.61279859999999997</v>
      </c>
    </row>
    <row r="414" spans="3:12" x14ac:dyDescent="0.3">
      <c r="C414" s="1" t="s">
        <v>106</v>
      </c>
      <c r="D414" s="1">
        <v>2.0886</v>
      </c>
      <c r="E414" s="1">
        <v>46.670499999999898</v>
      </c>
      <c r="F414" s="1">
        <v>264.83069</v>
      </c>
      <c r="G414" s="1">
        <v>0.96699999999999997</v>
      </c>
      <c r="H414" s="1">
        <v>1914</v>
      </c>
      <c r="I414" s="1" t="str">
        <f t="shared" si="6"/>
        <v>TIPL</v>
      </c>
      <c r="J414">
        <v>1.49062E-2</v>
      </c>
      <c r="K414">
        <v>3.8769856160100001E-2</v>
      </c>
      <c r="L414">
        <v>-0.25414009999999998</v>
      </c>
    </row>
    <row r="415" spans="3:12" x14ac:dyDescent="0.3">
      <c r="C415" s="1" t="s">
        <v>106</v>
      </c>
      <c r="D415" s="1">
        <v>2.0886</v>
      </c>
      <c r="E415" s="1">
        <v>46.670499999999898</v>
      </c>
      <c r="F415" s="1">
        <v>264.83069</v>
      </c>
      <c r="G415" s="1">
        <v>2.1030000000000002</v>
      </c>
      <c r="H415" s="1">
        <v>1914</v>
      </c>
      <c r="I415" s="1" t="str">
        <f t="shared" si="6"/>
        <v>TIPL</v>
      </c>
      <c r="J415">
        <v>1.49062E-2</v>
      </c>
      <c r="K415">
        <v>3.8769856160100001E-2</v>
      </c>
      <c r="L415">
        <v>-0.25414009999999998</v>
      </c>
    </row>
    <row r="416" spans="3:12" x14ac:dyDescent="0.3">
      <c r="C416" s="1" t="s">
        <v>106</v>
      </c>
      <c r="D416" s="1">
        <v>10.8605</v>
      </c>
      <c r="E416" s="1">
        <v>45.7196</v>
      </c>
      <c r="F416" s="1">
        <v>1367.8629000000001</v>
      </c>
      <c r="G416" s="2" t="s">
        <v>112</v>
      </c>
      <c r="H416" s="1">
        <v>1989</v>
      </c>
      <c r="I416" s="1" t="str">
        <f t="shared" si="6"/>
        <v>TIPL</v>
      </c>
      <c r="J416">
        <v>5.4095999999999997E-3</v>
      </c>
      <c r="K416">
        <v>-8.6163227016889995E-3</v>
      </c>
      <c r="L416">
        <v>-5.6400000000000002E-5</v>
      </c>
    </row>
    <row r="417" spans="3:12" x14ac:dyDescent="0.3">
      <c r="C417" s="1" t="s">
        <v>106</v>
      </c>
      <c r="D417" s="1">
        <v>7.0965499999999997</v>
      </c>
      <c r="E417" s="1">
        <v>43.006549999999997</v>
      </c>
      <c r="F417" s="1" t="s">
        <v>112</v>
      </c>
      <c r="G417" s="2" t="s">
        <v>112</v>
      </c>
      <c r="H417" s="1">
        <v>1981</v>
      </c>
      <c r="I417" s="1" t="str">
        <f t="shared" si="6"/>
        <v>TIPL</v>
      </c>
      <c r="J417" t="s">
        <v>112</v>
      </c>
      <c r="K417" t="s">
        <v>112</v>
      </c>
      <c r="L417" t="s">
        <v>112</v>
      </c>
    </row>
    <row r="418" spans="3:12" x14ac:dyDescent="0.3">
      <c r="C418" s="1" t="s">
        <v>106</v>
      </c>
      <c r="D418" s="1">
        <v>-119.4324</v>
      </c>
      <c r="E418" s="1">
        <v>37.261499999999899</v>
      </c>
      <c r="F418" s="1">
        <v>1792.5378000000001</v>
      </c>
      <c r="G418" s="1">
        <v>0.78800000000000003</v>
      </c>
      <c r="H418" s="1">
        <v>1895</v>
      </c>
      <c r="I418" s="1" t="str">
        <f t="shared" si="6"/>
        <v>TIPL</v>
      </c>
      <c r="J418">
        <v>1.62414E-2</v>
      </c>
      <c r="K418">
        <v>-8.2698561601E-3</v>
      </c>
      <c r="L418">
        <v>2.8980599999999999E-2</v>
      </c>
    </row>
    <row r="419" spans="3:12" x14ac:dyDescent="0.3">
      <c r="C419" s="1" t="s">
        <v>107</v>
      </c>
      <c r="D419" s="1">
        <v>-119.4324</v>
      </c>
      <c r="E419" s="1">
        <v>37.261499999999899</v>
      </c>
      <c r="F419" s="1">
        <v>1792.5378000000001</v>
      </c>
      <c r="G419" s="1">
        <v>-3.3660000000000001</v>
      </c>
      <c r="H419" s="1">
        <v>1895</v>
      </c>
      <c r="I419" s="1" t="str">
        <f t="shared" si="6"/>
        <v>TSHE</v>
      </c>
      <c r="J419">
        <v>1.62414E-2</v>
      </c>
      <c r="K419">
        <v>-8.2698561601E-3</v>
      </c>
      <c r="L419">
        <v>2.8980599999999999E-2</v>
      </c>
    </row>
  </sheetData>
  <phoneticPr fontId="1" type="noConversion"/>
  <conditionalFormatting sqref="G3:G36 G126:G419 G38:G124">
    <cfRule type="cellIs" dxfId="0" priority="1" operator="greaterThan">
      <formula>20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zhxianliang</dc:creator>
  <cp:lastModifiedBy>xian liang zhang</cp:lastModifiedBy>
  <dcterms:created xsi:type="dcterms:W3CDTF">2023-05-12T11:15:00Z</dcterms:created>
  <dcterms:modified xsi:type="dcterms:W3CDTF">2026-04-03T18:03:08Z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